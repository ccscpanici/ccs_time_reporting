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Time Sheet" sheetId="1" state="visible" r:id="rId1"/>
    <sheet name="Expense Report" sheetId="2" state="visible" r:id="rId2"/>
    <sheet name="Parts Report" sheetId="3" state="visible" r:id="rId3"/>
  </sheets>
  <definedNames>
    <definedName name="_xlnm.Print_Area" localSheetId="0" hidden="0">'Time Sheet'!$A$1:$N$58</definedName>
    <definedName name="_xlnm.Print_Area" localSheetId="1" hidden="0">'Expense Report'!$A$1:$N$45</definedName>
    <definedName name="_xlnm.Print_Area" localSheetId="2" hidden="0">'Parts Report'!$A$1:$F$44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<sst xmlns="http://schemas.openxmlformats.org/spreadsheetml/2006/main" count="86" uniqueCount="86">
  <si>
    <t xml:space="preserve">Weekly Time Sheet</t>
  </si>
  <si>
    <t xml:space="preserve">Complete Control Solutions, Inc.</t>
  </si>
  <si>
    <t>Name:</t>
  </si>
  <si>
    <t xml:space="preserve">CHRISTOPHER PANICI</t>
  </si>
  <si>
    <t xml:space="preserve">3701 E. Evergreen Dr. Suite 400</t>
  </si>
  <si>
    <t xml:space="preserve">W5531 AMY AVE</t>
  </si>
  <si>
    <t xml:space="preserve">Appleton, WI 54913</t>
  </si>
  <si>
    <t xml:space="preserve">APPLETON, WI 54915</t>
  </si>
  <si>
    <t xml:space="preserve"> </t>
  </si>
  <si>
    <t xml:space="preserve">Week of</t>
  </si>
  <si>
    <r>
      <rPr>
        <b/>
        <sz val="14"/>
        <rFont val="Times New Roman"/>
      </rPr>
      <t xml:space="preserve">to </t>
    </r>
    <r>
      <rPr>
        <b/>
        <u val="single"/>
        <sz val="14"/>
        <rFont val="Times New Roman"/>
      </rPr>
      <t xml:space="preserve">      </t>
    </r>
  </si>
  <si>
    <t xml:space="preserve">           Work Codes:</t>
  </si>
  <si>
    <t xml:space="preserve">Technician Labor - Shop</t>
  </si>
  <si>
    <t>Office</t>
  </si>
  <si>
    <t xml:space="preserve">Technician Labor - Field</t>
  </si>
  <si>
    <t xml:space="preserve">Overtime - Saturdays &amp; Over 8 hours/day</t>
  </si>
  <si>
    <t>Vacation</t>
  </si>
  <si>
    <t>Testing</t>
  </si>
  <si>
    <t xml:space="preserve">Sick / Personal Time</t>
  </si>
  <si>
    <t xml:space="preserve">PLC Programming</t>
  </si>
  <si>
    <t xml:space="preserve">Sales/Marketing &amp; R/D</t>
  </si>
  <si>
    <t xml:space="preserve">HMI/SCADA Programming</t>
  </si>
  <si>
    <t xml:space="preserve">Double Time - Required work on Sundays</t>
  </si>
  <si>
    <t xml:space="preserve">Warranty Work</t>
  </si>
  <si>
    <t xml:space="preserve">Project Management</t>
  </si>
  <si>
    <t xml:space="preserve">Travel Time</t>
  </si>
  <si>
    <t xml:space="preserve">Electrical Design/Eng</t>
  </si>
  <si>
    <t>Training</t>
  </si>
  <si>
    <t>Drafting</t>
  </si>
  <si>
    <t xml:space="preserve">StartUp - "S" Designation after Job Number</t>
  </si>
  <si>
    <t>Date</t>
  </si>
  <si>
    <t xml:space="preserve">Job Number</t>
  </si>
  <si>
    <t xml:space="preserve">Work Code</t>
  </si>
  <si>
    <t xml:space="preserve">Reg. Time Hrs</t>
  </si>
  <si>
    <t xml:space="preserve">Overtime Hrs.</t>
  </si>
  <si>
    <t xml:space="preserve">Dbl Time Hrs.</t>
  </si>
  <si>
    <t xml:space="preserve">Description of Work</t>
  </si>
  <si>
    <t xml:space="preserve">Overnight Stay</t>
  </si>
  <si>
    <t xml:space="preserve">Overnight Travel Bonus</t>
  </si>
  <si>
    <t>`</t>
  </si>
  <si>
    <t>Regular</t>
  </si>
  <si>
    <t>OT</t>
  </si>
  <si>
    <t>DT</t>
  </si>
  <si>
    <t>TOTALS:</t>
  </si>
  <si>
    <t xml:space="preserve">TOTAL HOURS FOR THE WEEK:</t>
  </si>
  <si>
    <t xml:space="preserve">TOTAL OVERNIGHT TRAVEL BONUS:</t>
  </si>
  <si>
    <t xml:space="preserve">EMPLOYEE’S SIGNATURE:</t>
  </si>
  <si>
    <t xml:space="preserve">Per Diem Food</t>
  </si>
  <si>
    <t xml:space="preserve">WEEKLY EXPENSE REPORT</t>
  </si>
  <si>
    <t xml:space="preserve">Travel Days $37.50</t>
  </si>
  <si>
    <t xml:space="preserve">Overnight Stays $50</t>
  </si>
  <si>
    <t>to</t>
  </si>
  <si>
    <t xml:space="preserve">Per Diem</t>
  </si>
  <si>
    <t>Air</t>
  </si>
  <si>
    <t>Tolls/</t>
  </si>
  <si>
    <t>Rental</t>
  </si>
  <si>
    <t>Business</t>
  </si>
  <si>
    <t>Other</t>
  </si>
  <si>
    <t xml:space="preserve">Explanation of</t>
  </si>
  <si>
    <t>Daily</t>
  </si>
  <si>
    <t xml:space="preserve">Job #</t>
  </si>
  <si>
    <t>Miles</t>
  </si>
  <si>
    <t>Mileage</t>
  </si>
  <si>
    <t>Food</t>
  </si>
  <si>
    <t>Fare</t>
  </si>
  <si>
    <t>Hotel</t>
  </si>
  <si>
    <t>Parking</t>
  </si>
  <si>
    <t>Car/Fuel</t>
  </si>
  <si>
    <t>Meals</t>
  </si>
  <si>
    <t>Expense</t>
  </si>
  <si>
    <t>Expenses</t>
  </si>
  <si>
    <t>Total</t>
  </si>
  <si>
    <t xml:space="preserve">Weekly Totals</t>
  </si>
  <si>
    <t xml:space="preserve">Employee Signature:</t>
  </si>
  <si>
    <t xml:space="preserve">WEEKLY TOTAL EXPENSES</t>
  </si>
  <si>
    <t xml:space="preserve">915 Indianhead Drive</t>
  </si>
  <si>
    <t xml:space="preserve">Mosinee, WI  54455</t>
  </si>
  <si>
    <t xml:space="preserve">PARTS- CHARGE TO JOBS/REPLENISHMENT REPORT</t>
  </si>
  <si>
    <t xml:space="preserve">EE Stock/</t>
  </si>
  <si>
    <t xml:space="preserve">Part Description/</t>
  </si>
  <si>
    <t xml:space="preserve">Additional Notes</t>
  </si>
  <si>
    <t>Re-Order</t>
  </si>
  <si>
    <t>Quantity</t>
  </si>
  <si>
    <t xml:space="preserve">Part Number</t>
  </si>
  <si>
    <t xml:space="preserve">For Customer</t>
  </si>
  <si>
    <t xml:space="preserve">Part - Yes/No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</si>
</sst>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(\$* #,##0.00_);_(\$* \(#,##0.00\);_(\$* \-??_);_(@_)"/>
    <numFmt numFmtId="165" formatCode="m/d"/>
    <numFmt numFmtId="166" formatCode="[$-409]mmmm\ d&quot;, &quot;yyyy;@"/>
    <numFmt numFmtId="167" formatCode="\$#,##0.00_);&quot;($&quot;#,##0.00\)"/>
  </numFmts>
  <fonts count="43">
    <font>
      <sz val="10.000000"/>
      <color theme="1"/>
      <name val="Arial"/>
    </font>
    <font>
      <sz val="10.000000"/>
      <name val="Arial"/>
    </font>
    <font>
      <sz val="14.000000"/>
      <name val="Arial"/>
    </font>
    <font>
      <b/>
      <u/>
      <sz val="14.000000"/>
      <name val="Arial"/>
    </font>
    <font>
      <b/>
      <u/>
      <sz val="20.000000"/>
      <name val="Arial"/>
    </font>
    <font>
      <b/>
      <sz val="14.000000"/>
      <name val="Times New Roman"/>
    </font>
    <font>
      <b/>
      <sz val="14.000000"/>
      <name val="Calibri"/>
    </font>
    <font>
      <b/>
      <sz val="18.000000"/>
      <name val="Calibri"/>
    </font>
    <font>
      <b/>
      <sz val="16.000000"/>
      <name val="Calibri"/>
    </font>
    <font>
      <b/>
      <u/>
      <sz val="14.000000"/>
      <name val="Times New Roman"/>
    </font>
    <font>
      <b/>
      <sz val="10.000000"/>
      <name val="Calibri"/>
    </font>
    <font>
      <sz val="10.000000"/>
      <name val="Calibri"/>
    </font>
    <font>
      <sz val="13.000000"/>
      <name val="Arial"/>
    </font>
    <font>
      <b/>
      <sz val="14.000000"/>
      <name val="Cambria"/>
    </font>
    <font>
      <b/>
      <sz val="20.000000"/>
      <name val="Cambria"/>
    </font>
    <font>
      <sz val="12.000000"/>
      <name val="Cambria"/>
    </font>
    <font>
      <b/>
      <u/>
      <sz val="12.000000"/>
      <name val="Cambria"/>
    </font>
    <font>
      <b/>
      <u/>
      <sz val="10.000000"/>
      <name val="Times New Roman"/>
    </font>
    <font>
      <b/>
      <sz val="12.000000"/>
      <name val="Times New Roman"/>
    </font>
    <font>
      <b/>
      <u/>
      <sz val="12.000000"/>
      <name val="Times New Roman"/>
    </font>
    <font>
      <sz val="12.000000"/>
      <name val="Arial"/>
    </font>
    <font>
      <sz val="16.000000"/>
      <name val="Script MT Bold"/>
    </font>
    <font>
      <sz val="24.000000"/>
      <name val="Freestyle Script"/>
    </font>
    <font>
      <sz val="12.000000"/>
      <name val="Freestyle Script"/>
    </font>
    <font>
      <sz val="11.000000"/>
      <name val="Arial"/>
    </font>
    <font>
      <b/>
      <sz val="10.000000"/>
      <name val="Arial"/>
    </font>
    <font>
      <b/>
      <sz val="20.000000"/>
      <name val="Times New Roman"/>
    </font>
    <font>
      <sz val="10.000000"/>
      <name val="Tahoma"/>
    </font>
    <font>
      <sz val="14.000000"/>
      <name val="Calibri"/>
    </font>
    <font>
      <b/>
      <sz val="22.000000"/>
      <name val="Times New Roman"/>
    </font>
    <font>
      <u/>
      <sz val="14.000000"/>
      <name val="Arial"/>
    </font>
    <font>
      <b/>
      <sz val="10.000000"/>
      <name val="Tahoma"/>
    </font>
    <font>
      <u/>
      <sz val="12.000000"/>
      <name val="Tahoma"/>
    </font>
    <font>
      <b/>
      <u/>
      <sz val="10.000000"/>
      <name val="Tahoma"/>
    </font>
    <font>
      <b/>
      <u/>
      <sz val="10.000000"/>
      <name val="Arial"/>
    </font>
    <font>
      <sz val="16.000000"/>
      <name val="Times New Roman"/>
    </font>
    <font>
      <sz val="8.000000"/>
      <name val="Times New Roman"/>
    </font>
    <font>
      <sz val="8.000000"/>
      <name val="Arial"/>
    </font>
    <font>
      <b/>
      <sz val="12.000000"/>
      <name val="Tahoma"/>
    </font>
    <font>
      <b/>
      <u/>
      <sz val="12.000000"/>
      <name val="Tahoma"/>
    </font>
    <font>
      <sz val="9.000000"/>
      <name val="Tahoma"/>
    </font>
    <font>
      <sz val="9.000000"/>
      <name val="Arial"/>
    </font>
    <font>
      <sz val="8.000000"/>
      <name val="Tahoma"/>
    </font>
  </fonts>
  <fills count="10">
    <fill>
      <patternFill patternType="none"/>
    </fill>
    <fill>
      <patternFill patternType="gray125"/>
    </fill>
    <fill>
      <patternFill patternType="solid">
        <fgColor indexed="65"/>
        <bgColor indexed="26"/>
      </patternFill>
    </fill>
    <fill>
      <patternFill patternType="solid">
        <fgColor indexed="22"/>
        <bgColor rgb="FFBFBFBF"/>
      </patternFill>
    </fill>
    <fill>
      <patternFill patternType="solid">
        <fgColor theme="3" tint="0.79990000000000006"/>
        <bgColor rgb="FFDDD9C3"/>
      </patternFill>
    </fill>
    <fill>
      <patternFill patternType="solid">
        <fgColor theme="5" tint="0.59989999999999999"/>
        <bgColor rgb="FFFAC090"/>
      </patternFill>
    </fill>
    <fill>
      <patternFill patternType="solid">
        <fgColor theme="2" tint="-0.10000000000000001"/>
        <bgColor rgb="FFC6D9F1"/>
      </patternFill>
    </fill>
    <fill>
      <patternFill patternType="solid">
        <fgColor theme="9" tint="0.39989999999999998"/>
        <bgColor rgb="FFE6B9B8"/>
      </patternFill>
    </fill>
    <fill>
      <patternFill patternType="solid">
        <fgColor theme="7" tint="0.59989999999999999"/>
        <bgColor indexed="22"/>
      </patternFill>
    </fill>
    <fill>
      <patternFill patternType="solid">
        <fgColor theme="0" tint="-0.25"/>
        <bgColor indexed="22"/>
      </patternFill>
    </fill>
  </fills>
  <borders count="41">
    <border>
      <left style="none"/>
      <right style="none"/>
      <top style="none"/>
      <bottom style="none"/>
      <diagonal style="none"/>
    </border>
    <border>
      <left style="medium">
        <color theme="1"/>
      </left>
      <right style="none"/>
      <top style="medium">
        <color theme="1"/>
      </top>
      <bottom style="none"/>
      <diagonal style="none"/>
    </border>
    <border>
      <left style="none"/>
      <right style="none"/>
      <top style="medium">
        <color theme="1"/>
      </top>
      <bottom style="none"/>
      <diagonal style="none"/>
    </border>
    <border>
      <left style="none"/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none"/>
      <top style="none"/>
      <bottom style="none"/>
      <diagonal style="none"/>
    </border>
    <border>
      <left style="none"/>
      <right style="medium">
        <color theme="1"/>
      </right>
      <top style="none"/>
      <bottom style="none"/>
      <diagonal style="none"/>
    </border>
    <border>
      <left style="medium">
        <color theme="1"/>
      </left>
      <right style="none"/>
      <top style="none"/>
      <bottom style="medium">
        <color theme="1"/>
      </bottom>
      <diagonal style="none"/>
    </border>
    <border>
      <left style="none"/>
      <right style="none"/>
      <top style="none"/>
      <bottom style="medium">
        <color theme="1"/>
      </bottom>
      <diagonal style="none"/>
    </border>
    <border>
      <left style="none"/>
      <right style="medium">
        <color theme="1"/>
      </right>
      <top style="none"/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none"/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none"/>
      <top style="medium">
        <color theme="1"/>
      </top>
      <bottom style="thin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thin">
        <color theme="1"/>
      </right>
      <top style="none"/>
      <bottom style="none"/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medium">
        <color theme="1"/>
      </left>
      <right style="thin">
        <color theme="1"/>
      </right>
      <top style="none"/>
      <bottom style="medium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none"/>
      <bottom style="medium">
        <color theme="1"/>
      </bottom>
      <diagonal style="none"/>
    </border>
    <border>
      <left style="none"/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7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0" fillId="0" borderId="0" numFmtId="16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  <xf fontId="1" fillId="0" borderId="0" numFmtId="0" applyNumberFormat="1" applyFont="1" applyFill="1" applyBorder="1" applyProtection="1">
      <protection hidden="0" locked="1"/>
    </xf>
  </cellStyleXfs>
  <cellXfs count="203">
    <xf fontId="0" fillId="0" borderId="0" numFmtId="0" xfId="0" applyProtection="0">
      <protection hidden="0" locked="1"/>
    </xf>
    <xf fontId="0" fillId="0" borderId="0" numFmtId="0" xfId="0" applyAlignment="1" applyProtection="1">
      <alignment horizontal="left"/>
      <protection hidden="0" locked="1"/>
    </xf>
    <xf fontId="2" fillId="2" borderId="1" numFmtId="0" xfId="0" applyFont="1" applyFill="1" applyBorder="1" applyProtection="1">
      <protection hidden="0" locked="1"/>
    </xf>
    <xf fontId="2" fillId="2" borderId="2" numFmtId="0" xfId="0" applyFont="1" applyFill="1" applyBorder="1" applyProtection="1">
      <protection hidden="0" locked="1"/>
    </xf>
    <xf fontId="3" fillId="2" borderId="2" numFmtId="0" xfId="0" applyFont="1" applyFill="1" applyBorder="1" applyAlignment="1" applyProtection="1">
      <alignment horizontal="center"/>
      <protection hidden="0" locked="1"/>
    </xf>
    <xf fontId="4" fillId="2" borderId="2" numFmtId="0" xfId="0" applyFont="1" applyFill="1" applyBorder="1" applyAlignment="1" applyProtection="1">
      <alignment horizontal="center"/>
      <protection hidden="0" locked="1"/>
    </xf>
    <xf fontId="3" fillId="2" borderId="3" numFmtId="0" xfId="0" applyFont="1" applyFill="1" applyBorder="1" applyAlignment="1" applyProtection="1">
      <alignment horizontal="center"/>
      <protection hidden="0" locked="1"/>
    </xf>
    <xf fontId="2" fillId="2" borderId="4" numFmtId="0" xfId="0" applyFont="1" applyFill="1" applyBorder="1" applyProtection="1">
      <protection hidden="0" locked="1"/>
    </xf>
    <xf fontId="2" fillId="2" borderId="0" numFmtId="0" xfId="0" applyFont="1" applyFill="1" applyProtection="1">
      <protection hidden="0" locked="1"/>
    </xf>
    <xf fontId="3" fillId="2" borderId="0" numFmtId="0" xfId="0" applyFont="1" applyFill="1" applyAlignment="1" applyProtection="1">
      <alignment horizontal="center"/>
      <protection hidden="0" locked="1"/>
    </xf>
    <xf fontId="3" fillId="2" borderId="5" numFmtId="0" xfId="0" applyFont="1" applyFill="1" applyBorder="1" applyAlignment="1" applyProtection="1">
      <alignment horizontal="center"/>
      <protection hidden="0" locked="1"/>
    </xf>
    <xf fontId="0" fillId="0" borderId="4" numFmtId="0" xfId="0" applyBorder="1" applyAlignment="1" applyProtection="1">
      <alignment horizontal="left"/>
      <protection hidden="0" locked="1"/>
    </xf>
    <xf fontId="5" fillId="2" borderId="0" numFmtId="0" xfId="0" applyFont="1" applyFill="1" applyProtection="1">
      <protection hidden="0" locked="1"/>
    </xf>
    <xf fontId="6" fillId="2" borderId="0" numFmtId="0" xfId="0" applyFont="1" applyFill="1" applyAlignment="1" applyProtection="1">
      <alignment horizontal="center"/>
      <protection hidden="0" locked="1"/>
    </xf>
    <xf fontId="5" fillId="2" borderId="0" numFmtId="0" xfId="0" applyFont="1" applyFill="1" applyAlignment="1" applyProtection="1">
      <alignment horizontal="center"/>
      <protection hidden="0" locked="1"/>
    </xf>
    <xf fontId="6" fillId="2" borderId="0" numFmtId="0" xfId="0" applyFont="1" applyFill="1" applyAlignment="1" applyProtection="1">
      <alignment horizontal="left"/>
      <protection hidden="0" locked="1"/>
    </xf>
    <xf fontId="7" fillId="2" borderId="5" numFmtId="0" xfId="0" applyFont="1" applyFill="1" applyBorder="1" applyProtection="1">
      <protection hidden="0" locked="1"/>
    </xf>
    <xf fontId="5" fillId="2" borderId="0" numFmtId="0" xfId="0" applyFont="1" applyFill="1" applyAlignment="1" applyProtection="1">
      <alignment horizontal="center" wrapText="1"/>
      <protection hidden="0" locked="1"/>
    </xf>
    <xf fontId="5" fillId="2" borderId="0" numFmtId="0" xfId="0" applyFont="1" applyFill="1" applyAlignment="1" applyProtection="1">
      <alignment wrapText="1"/>
      <protection hidden="0" locked="1"/>
    </xf>
    <xf fontId="8" fillId="2" borderId="5" numFmtId="0" xfId="0" applyFont="1" applyFill="1" applyBorder="1" applyAlignment="1" applyProtection="1">
      <alignment wrapText="1"/>
      <protection hidden="0" locked="1"/>
    </xf>
    <xf fontId="5" fillId="2" borderId="4" numFmtId="0" xfId="0" applyFont="1" applyFill="1" applyBorder="1" applyAlignment="1" applyProtection="1">
      <alignment horizontal="left"/>
      <protection hidden="0" locked="1"/>
    </xf>
    <xf fontId="0" fillId="2" borderId="0" numFmtId="0" xfId="0" applyFill="1" applyAlignment="1" applyProtection="1">
      <alignment horizontal="left"/>
      <protection hidden="0" locked="1"/>
    </xf>
    <xf fontId="8" fillId="2" borderId="5" numFmtId="0" xfId="0" applyFont="1" applyFill="1" applyBorder="1" applyAlignment="1" applyProtection="1">
      <alignment horizontal="left"/>
      <protection hidden="0" locked="1"/>
    </xf>
    <xf fontId="0" fillId="2" borderId="5" numFmtId="0" xfId="0" applyFill="1" applyBorder="1" applyAlignment="1" applyProtection="1">
      <alignment horizontal="left"/>
      <protection hidden="0" locked="1"/>
    </xf>
    <xf fontId="5" fillId="2" borderId="0" numFmtId="0" xfId="0" applyFont="1" applyFill="1" applyAlignment="1" applyProtection="1">
      <alignment horizontal="right"/>
      <protection hidden="0" locked="1"/>
    </xf>
    <xf fontId="9" fillId="3" borderId="0" numFmtId="14" xfId="0" applyNumberFormat="1" applyFont="1" applyFill="1" applyAlignment="1" applyProtection="1">
      <alignment horizontal="center"/>
      <protection hidden="0" locked="1"/>
    </xf>
    <xf fontId="9" fillId="2" borderId="0" numFmtId="14" xfId="0" applyNumberFormat="1" applyFont="1" applyFill="1" applyAlignment="1" applyProtection="1">
      <alignment horizontal="center"/>
      <protection hidden="0" locked="1"/>
    </xf>
    <xf fontId="5" fillId="2" borderId="6" numFmtId="0" xfId="0" applyFont="1" applyFill="1" applyBorder="1" applyAlignment="1" applyProtection="1">
      <alignment horizontal="left"/>
      <protection hidden="0" locked="1"/>
    </xf>
    <xf fontId="0" fillId="2" borderId="7" numFmtId="0" xfId="0" applyFill="1" applyBorder="1" applyAlignment="1" applyProtection="1">
      <alignment horizontal="left"/>
      <protection hidden="0" locked="1"/>
    </xf>
    <xf fontId="0" fillId="2" borderId="8" numFmtId="0" xfId="0" applyFill="1" applyBorder="1" applyAlignment="1" applyProtection="1">
      <alignment horizontal="left"/>
      <protection hidden="0" locked="1"/>
    </xf>
    <xf fontId="9" fillId="0" borderId="0" numFmtId="0" xfId="0" applyFont="1" applyAlignment="1" applyProtection="1">
      <alignment horizontal="left"/>
      <protection hidden="0" locked="1"/>
    </xf>
    <xf fontId="9" fillId="0" borderId="0" numFmtId="0" xfId="0" applyFont="1" applyAlignment="1" applyProtection="1">
      <alignment horizontal="center"/>
      <protection hidden="0" locked="1"/>
    </xf>
    <xf fontId="9" fillId="0" borderId="0" numFmtId="0" xfId="0" applyFont="1" applyProtection="1">
      <protection hidden="0" locked="1"/>
    </xf>
    <xf fontId="5" fillId="2" borderId="7" numFmtId="0" xfId="0" applyFont="1" applyFill="1" applyBorder="1" applyAlignment="1" applyProtection="1">
      <alignment horizontal="center"/>
      <protection hidden="0" locked="1"/>
    </xf>
    <xf fontId="10" fillId="4" borderId="1" numFmtId="0" xfId="0" applyFont="1" applyFill="1" applyBorder="1" applyAlignment="1" applyProtection="1">
      <alignment horizontal="center"/>
      <protection hidden="0" locked="1"/>
    </xf>
    <xf fontId="10" fillId="4" borderId="2" numFmtId="0" xfId="0" applyFont="1" applyFill="1" applyBorder="1" applyAlignment="1" applyProtection="1">
      <alignment horizontal="center"/>
      <protection hidden="0" locked="1"/>
    </xf>
    <xf fontId="10" fillId="4" borderId="2" numFmtId="0" xfId="0" applyFont="1" applyFill="1" applyBorder="1" applyAlignment="1" applyProtection="1">
      <alignment horizontal="left"/>
      <protection hidden="0" locked="1"/>
    </xf>
    <xf fontId="10" fillId="4" borderId="3" numFmtId="0" xfId="0" applyFont="1" applyFill="1" applyBorder="1" applyAlignment="1" applyProtection="1">
      <alignment horizontal="center"/>
      <protection hidden="0" locked="1"/>
    </xf>
    <xf fontId="10" fillId="4" borderId="4" numFmtId="0" xfId="0" applyFont="1" applyFill="1" applyBorder="1" applyAlignment="1" applyProtection="1">
      <alignment horizontal="center"/>
      <protection hidden="0" locked="1"/>
    </xf>
    <xf fontId="10" fillId="4" borderId="0" numFmtId="0" xfId="0" applyFont="1" applyFill="1" applyAlignment="1" applyProtection="1">
      <alignment horizontal="left"/>
      <protection hidden="0" locked="1"/>
    </xf>
    <xf fontId="10" fillId="4" borderId="0" numFmtId="0" xfId="0" applyFont="1" applyFill="1" applyAlignment="1" applyProtection="1">
      <alignment horizontal="center"/>
      <protection hidden="0" locked="1"/>
    </xf>
    <xf fontId="11" fillId="4" borderId="0" numFmtId="0" xfId="0" applyFont="1" applyFill="1" applyAlignment="1" applyProtection="1">
      <alignment horizontal="left"/>
      <protection hidden="0" locked="1"/>
    </xf>
    <xf fontId="10" fillId="4" borderId="5" numFmtId="0" xfId="0" applyFont="1" applyFill="1" applyBorder="1" applyAlignment="1" applyProtection="1">
      <alignment horizontal="left"/>
      <protection hidden="0" locked="1"/>
    </xf>
    <xf fontId="10" fillId="4" borderId="0" numFmtId="0" xfId="0" applyFont="1" applyFill="1" applyProtection="1">
      <protection hidden="0" locked="1"/>
    </xf>
    <xf fontId="10" fillId="4" borderId="6" numFmtId="0" xfId="0" applyFont="1" applyFill="1" applyBorder="1" applyAlignment="1" applyProtection="1">
      <alignment horizontal="center"/>
      <protection hidden="0" locked="1"/>
    </xf>
    <xf fontId="10" fillId="4" borderId="7" numFmtId="0" xfId="0" applyFont="1" applyFill="1" applyBorder="1" applyAlignment="1" applyProtection="1">
      <alignment horizontal="left"/>
      <protection hidden="0" locked="1"/>
    </xf>
    <xf fontId="10" fillId="4" borderId="7" numFmtId="0" xfId="0" applyFont="1" applyFill="1" applyBorder="1" applyAlignment="1" applyProtection="1">
      <alignment horizontal="center"/>
      <protection hidden="0" locked="1"/>
    </xf>
    <xf fontId="11" fillId="4" borderId="7" numFmtId="0" xfId="0" applyFont="1" applyFill="1" applyBorder="1" applyAlignment="1" applyProtection="1">
      <alignment horizontal="left"/>
      <protection hidden="0" locked="1"/>
    </xf>
    <xf fontId="10" fillId="4" borderId="7" numFmtId="0" xfId="0" applyFont="1" applyFill="1" applyBorder="1" applyProtection="1">
      <protection hidden="0" locked="1"/>
    </xf>
    <xf fontId="10" fillId="4" borderId="8" numFmtId="0" xfId="0" applyFont="1" applyFill="1" applyBorder="1" applyAlignment="1" applyProtection="1">
      <alignment horizontal="left"/>
      <protection hidden="0" locked="1"/>
    </xf>
    <xf fontId="12" fillId="0" borderId="0" numFmtId="0" xfId="0" applyFont="1" applyProtection="1">
      <protection hidden="0" locked="1"/>
    </xf>
    <xf fontId="10" fillId="0" borderId="9" numFmtId="0" xfId="0" applyFont="1" applyBorder="1" applyAlignment="1" applyProtection="1">
      <alignment horizontal="center" wrapText="1"/>
      <protection hidden="0" locked="1"/>
    </xf>
    <xf fontId="10" fillId="0" borderId="10" numFmtId="0" xfId="0" applyFont="1" applyBorder="1" applyAlignment="1" applyProtection="1">
      <alignment horizontal="center" wrapText="1"/>
      <protection hidden="0" locked="1"/>
    </xf>
    <xf fontId="10" fillId="4" borderId="10" numFmtId="0" xfId="0" applyFont="1" applyFill="1" applyBorder="1" applyAlignment="1" applyProtection="1">
      <alignment horizontal="center" wrapText="1"/>
      <protection hidden="0" locked="1"/>
    </xf>
    <xf fontId="10" fillId="5" borderId="10" numFmtId="0" xfId="0" applyFont="1" applyFill="1" applyBorder="1" applyAlignment="1" applyProtection="1">
      <alignment horizontal="center" wrapText="1"/>
      <protection hidden="0" locked="1"/>
    </xf>
    <xf fontId="10" fillId="6" borderId="10" numFmtId="0" xfId="0" applyFont="1" applyFill="1" applyBorder="1" applyAlignment="1" applyProtection="1">
      <alignment horizontal="center" wrapText="1"/>
      <protection hidden="0" locked="1"/>
    </xf>
    <xf fontId="10" fillId="7" borderId="10" numFmtId="0" xfId="0" applyFont="1" applyFill="1" applyBorder="1" applyAlignment="1" applyProtection="1">
      <alignment horizontal="center" wrapText="1"/>
      <protection hidden="0" locked="1"/>
    </xf>
    <xf fontId="10" fillId="0" borderId="11" numFmtId="0" xfId="0" applyFont="1" applyBorder="1" applyAlignment="1" applyProtection="1">
      <alignment horizontal="center" vertical="center"/>
      <protection hidden="0" locked="1"/>
    </xf>
    <xf fontId="10" fillId="8" borderId="9" numFmtId="0" xfId="0" applyFont="1" applyFill="1" applyBorder="1" applyAlignment="1" applyProtection="1">
      <alignment horizontal="center" wrapText="1"/>
      <protection hidden="0" locked="1"/>
    </xf>
    <xf fontId="11" fillId="0" borderId="12" numFmtId="0" xfId="0" applyFont="1" applyBorder="1" applyProtection="1">
      <protection hidden="0" locked="1"/>
    </xf>
    <xf fontId="11" fillId="3" borderId="13" numFmtId="0" xfId="0" applyFont="1" applyFill="1" applyBorder="1" applyAlignment="1" applyProtection="1">
      <alignment horizontal="center"/>
      <protection hidden="0" locked="1"/>
    </xf>
    <xf fontId="11" fillId="4" borderId="14" numFmtId="0" xfId="0" applyFont="1" applyFill="1" applyBorder="1" applyAlignment="1" applyProtection="1">
      <alignment horizontal="center"/>
      <protection hidden="0" locked="1"/>
    </xf>
    <xf fontId="11" fillId="5" borderId="14" numFmtId="0" xfId="0" applyFont="1" applyFill="1" applyBorder="1" applyAlignment="1" applyProtection="1">
      <alignment horizontal="center"/>
      <protection hidden="0" locked="1"/>
    </xf>
    <xf fontId="11" fillId="6" borderId="14" numFmtId="0" xfId="0" applyFont="1" applyFill="1" applyBorder="1" applyAlignment="1" applyProtection="1">
      <alignment horizontal="center"/>
      <protection hidden="0" locked="1"/>
    </xf>
    <xf fontId="11" fillId="7" borderId="14" numFmtId="0" xfId="0" applyFont="1" applyFill="1" applyBorder="1" applyAlignment="1" applyProtection="1">
      <alignment horizontal="center"/>
      <protection hidden="0" locked="1"/>
    </xf>
    <xf fontId="11" fillId="0" borderId="15" numFmtId="0" xfId="0" applyFont="1" applyBorder="1" applyAlignment="1" applyProtection="1">
      <alignment horizontal="center" wrapText="1"/>
      <protection hidden="0" locked="1"/>
    </xf>
    <xf fontId="13" fillId="8" borderId="16" numFmtId="0" xfId="0" applyFont="1" applyFill="1" applyBorder="1" applyAlignment="1" applyProtection="1">
      <alignment horizontal="center" textRotation="180" vertical="center" wrapText="1"/>
      <protection hidden="0" locked="1"/>
    </xf>
    <xf fontId="11" fillId="0" borderId="0" numFmtId="0" xfId="0" applyFont="1" applyProtection="1">
      <protection hidden="0" locked="1"/>
    </xf>
    <xf fontId="10" fillId="0" borderId="17" numFmtId="165" xfId="0" applyNumberFormat="1" applyFont="1" applyBorder="1" applyAlignment="1" applyProtection="1">
      <alignment horizontal="center" wrapText="1"/>
      <protection hidden="0" locked="1"/>
    </xf>
    <xf fontId="11" fillId="3" borderId="18" numFmtId="0" xfId="0" applyFont="1" applyFill="1" applyBorder="1" applyAlignment="1" applyProtection="1">
      <alignment horizontal="center"/>
      <protection hidden="0" locked="1"/>
    </xf>
    <xf fontId="11" fillId="4" borderId="19" numFmtId="0" xfId="0" applyFont="1" applyFill="1" applyBorder="1" applyAlignment="1" applyProtection="1">
      <alignment horizontal="center"/>
      <protection hidden="0" locked="1"/>
    </xf>
    <xf fontId="11" fillId="5" borderId="19" numFmtId="0" xfId="0" applyFont="1" applyFill="1" applyBorder="1" applyAlignment="1" applyProtection="1">
      <alignment horizontal="center"/>
      <protection hidden="0" locked="1"/>
    </xf>
    <xf fontId="11" fillId="6" borderId="19" numFmtId="0" xfId="0" applyFont="1" applyFill="1" applyBorder="1" applyAlignment="1" applyProtection="1">
      <alignment horizontal="center"/>
      <protection hidden="0" locked="1"/>
    </xf>
    <xf fontId="11" fillId="7" borderId="19" numFmtId="0" xfId="0" applyFont="1" applyFill="1" applyBorder="1" applyAlignment="1" applyProtection="1">
      <alignment horizontal="center"/>
      <protection hidden="0" locked="1"/>
    </xf>
    <xf fontId="11" fillId="0" borderId="20" numFmtId="0" xfId="0" applyFont="1" applyBorder="1" applyAlignment="1" applyProtection="1">
      <alignment horizontal="center" wrapText="1"/>
      <protection hidden="0" locked="1"/>
    </xf>
    <xf fontId="10" fillId="0" borderId="17" numFmtId="166" xfId="0" applyNumberFormat="1" applyFont="1" applyBorder="1" applyAlignment="1" applyProtection="1">
      <alignment horizontal="center" wrapText="1"/>
      <protection hidden="0" locked="1"/>
    </xf>
    <xf fontId="11" fillId="3" borderId="21" numFmtId="0" xfId="0" applyFont="1" applyFill="1" applyBorder="1" applyAlignment="1" applyProtection="1">
      <alignment horizontal="center"/>
      <protection hidden="0" locked="1"/>
    </xf>
    <xf fontId="11" fillId="4" borderId="22" numFmtId="0" xfId="0" applyFont="1" applyFill="1" applyBorder="1" applyAlignment="1" applyProtection="1">
      <alignment horizontal="center"/>
      <protection hidden="0" locked="1"/>
    </xf>
    <xf fontId="11" fillId="5" borderId="22" numFmtId="0" xfId="0" applyFont="1" applyFill="1" applyBorder="1" applyAlignment="1" applyProtection="1">
      <alignment horizontal="center"/>
      <protection hidden="0" locked="1"/>
    </xf>
    <xf fontId="11" fillId="6" borderId="22" numFmtId="0" xfId="0" applyFont="1" applyFill="1" applyBorder="1" applyAlignment="1" applyProtection="1">
      <alignment horizontal="center"/>
      <protection hidden="0" locked="1"/>
    </xf>
    <xf fontId="11" fillId="7" borderId="22" numFmtId="0" xfId="0" applyFont="1" applyFill="1" applyBorder="1" applyAlignment="1" applyProtection="1">
      <alignment horizontal="center"/>
      <protection hidden="0" locked="1"/>
    </xf>
    <xf fontId="11" fillId="0" borderId="17" numFmtId="0" xfId="0" applyFont="1" applyBorder="1" applyProtection="1">
      <protection hidden="0" locked="1"/>
    </xf>
    <xf fontId="11" fillId="3" borderId="19" numFmtId="0" xfId="0" applyFont="1" applyFill="1" applyBorder="1" applyAlignment="1" applyProtection="1">
      <alignment horizontal="center"/>
      <protection hidden="0" locked="1"/>
    </xf>
    <xf fontId="10" fillId="0" borderId="23" numFmtId="165" xfId="0" applyNumberFormat="1" applyFont="1" applyBorder="1" applyAlignment="1" applyProtection="1">
      <alignment horizontal="center" wrapText="1"/>
      <protection hidden="0" locked="1"/>
    </xf>
    <xf fontId="11" fillId="3" borderId="24" numFmtId="0" xfId="0" applyFont="1" applyFill="1" applyBorder="1" applyAlignment="1" applyProtection="1">
      <alignment horizontal="center"/>
      <protection hidden="0" locked="1"/>
    </xf>
    <xf fontId="11" fillId="4" borderId="25" numFmtId="0" xfId="0" applyFont="1" applyFill="1" applyBorder="1" applyAlignment="1" applyProtection="1">
      <alignment horizontal="center"/>
      <protection hidden="0" locked="1"/>
    </xf>
    <xf fontId="11" fillId="5" borderId="25" numFmtId="0" xfId="0" applyFont="1" applyFill="1" applyBorder="1" applyAlignment="1" applyProtection="1">
      <alignment horizontal="center"/>
      <protection hidden="0" locked="1"/>
    </xf>
    <xf fontId="11" fillId="6" borderId="25" numFmtId="0" xfId="0" applyFont="1" applyFill="1" applyBorder="1" applyAlignment="1" applyProtection="1">
      <alignment horizontal="center"/>
      <protection hidden="0" locked="1"/>
    </xf>
    <xf fontId="11" fillId="7" borderId="25" numFmtId="0" xfId="0" applyFont="1" applyFill="1" applyBorder="1" applyAlignment="1" applyProtection="1">
      <alignment horizontal="center"/>
      <protection hidden="0" locked="1"/>
    </xf>
    <xf fontId="11" fillId="0" borderId="26" numFmtId="0" xfId="0" applyFont="1" applyBorder="1" applyAlignment="1" applyProtection="1">
      <alignment horizontal="center" wrapText="1"/>
      <protection hidden="0" locked="1"/>
    </xf>
    <xf fontId="14" fillId="8" borderId="27" numFmtId="0" xfId="0" applyFont="1" applyFill="1" applyBorder="1" applyAlignment="1" applyProtection="1">
      <alignment vertical="center"/>
      <protection hidden="0" locked="1"/>
    </xf>
    <xf fontId="11" fillId="3" borderId="28" numFmtId="0" xfId="0" applyFont="1" applyFill="1" applyBorder="1" applyAlignment="1" applyProtection="1">
      <alignment horizontal="center"/>
      <protection hidden="0" locked="1"/>
    </xf>
    <xf fontId="11" fillId="4" borderId="29" numFmtId="0" xfId="0" applyFont="1" applyFill="1" applyBorder="1" applyAlignment="1" applyProtection="1">
      <alignment horizontal="center"/>
      <protection hidden="0" locked="1"/>
    </xf>
    <xf fontId="11" fillId="5" borderId="29" numFmtId="0" xfId="0" applyFont="1" applyFill="1" applyBorder="1" applyAlignment="1" applyProtection="1">
      <alignment horizontal="center"/>
      <protection hidden="0" locked="1"/>
    </xf>
    <xf fontId="11" fillId="6" borderId="29" numFmtId="0" xfId="0" applyFont="1" applyFill="1" applyBorder="1" applyAlignment="1" applyProtection="1">
      <alignment horizontal="center"/>
      <protection hidden="0" locked="1"/>
    </xf>
    <xf fontId="11" fillId="7" borderId="29" numFmtId="0" xfId="0" applyFont="1" applyFill="1" applyBorder="1" applyAlignment="1" applyProtection="1">
      <alignment horizontal="center"/>
      <protection hidden="0" locked="1"/>
    </xf>
    <xf fontId="11" fillId="0" borderId="30" numFmtId="0" xfId="0" applyFont="1" applyBorder="1" applyAlignment="1" applyProtection="1">
      <alignment horizontal="center" wrapText="1"/>
      <protection hidden="0" locked="1"/>
    </xf>
    <xf fontId="11" fillId="0" borderId="31" numFmtId="0" xfId="0" applyFont="1" applyBorder="1" applyAlignment="1" applyProtection="1">
      <alignment horizontal="center" wrapText="1"/>
      <protection hidden="0" locked="1"/>
    </xf>
    <xf fontId="11" fillId="0" borderId="32" numFmtId="0" xfId="0" applyFont="1" applyBorder="1" applyAlignment="1" applyProtection="1">
      <alignment horizontal="center" wrapText="1"/>
      <protection hidden="0" locked="1"/>
    </xf>
    <xf fontId="11" fillId="3" borderId="29" numFmtId="0" xfId="0" applyFont="1" applyFill="1" applyBorder="1" applyAlignment="1" applyProtection="1">
      <alignment horizontal="center"/>
      <protection hidden="0" locked="1"/>
    </xf>
    <xf fontId="11" fillId="0" borderId="1" numFmtId="0" xfId="0" applyFont="1" applyBorder="1" applyProtection="1">
      <protection hidden="0" locked="1"/>
    </xf>
    <xf fontId="10" fillId="0" borderId="4" numFmtId="166" xfId="0" applyNumberFormat="1" applyFont="1" applyBorder="1" applyAlignment="1" applyProtection="1">
      <alignment horizontal="center" wrapText="1"/>
      <protection hidden="0" locked="1"/>
    </xf>
    <xf fontId="11" fillId="3" borderId="25" numFmtId="0" xfId="0" applyFont="1" applyFill="1" applyBorder="1" applyAlignment="1" applyProtection="1">
      <alignment horizontal="center"/>
      <protection hidden="0" locked="1"/>
    </xf>
    <xf fontId="11" fillId="0" borderId="23" numFmtId="0" xfId="0" applyFont="1" applyBorder="1" applyProtection="1">
      <protection hidden="0" locked="1"/>
    </xf>
    <xf fontId="12" fillId="2" borderId="0" numFmtId="0" xfId="0" applyFont="1" applyFill="1" applyProtection="1">
      <protection hidden="0" locked="1"/>
    </xf>
    <xf fontId="15" fillId="2" borderId="0" numFmtId="0" xfId="0" applyFont="1" applyFill="1" applyAlignment="1" applyProtection="1">
      <alignment horizontal="center"/>
      <protection hidden="0" locked="1"/>
    </xf>
    <xf fontId="16" fillId="2" borderId="0" numFmtId="0" xfId="0" applyFont="1" applyFill="1" applyAlignment="1" applyProtection="1">
      <alignment horizontal="center"/>
      <protection hidden="0" locked="1"/>
    </xf>
    <xf fontId="17" fillId="2" borderId="0" numFmtId="0" xfId="0" applyFont="1" applyFill="1" applyAlignment="1" applyProtection="1">
      <alignment horizontal="center"/>
      <protection hidden="0" locked="1"/>
    </xf>
    <xf fontId="18" fillId="2" borderId="0" numFmtId="0" xfId="0" applyFont="1" applyFill="1" applyAlignment="1" applyProtection="1">
      <alignment horizontal="left"/>
      <protection hidden="0" locked="1"/>
    </xf>
    <xf fontId="19" fillId="2" borderId="0" numFmtId="0" xfId="0" applyFont="1" applyFill="1" applyAlignment="1" applyProtection="1">
      <alignment horizontal="center"/>
      <protection hidden="0" locked="1"/>
    </xf>
    <xf fontId="19" fillId="0" borderId="0" numFmtId="0" xfId="0" applyFont="1" applyAlignment="1" applyProtection="1">
      <alignment horizontal="center"/>
      <protection hidden="0" locked="1"/>
    </xf>
    <xf fontId="19" fillId="2" borderId="0" numFmtId="0" xfId="0" applyFont="1" applyFill="1" applyAlignment="1" applyProtection="1">
      <alignment horizontal="center" wrapText="1"/>
      <protection hidden="0" locked="1"/>
    </xf>
    <xf fontId="16" fillId="2" borderId="0" numFmtId="164" xfId="3" applyNumberFormat="1" applyFont="1" applyFill="1" applyAlignment="1" applyProtection="1">
      <alignment horizontal="center"/>
      <protection hidden="0" locked="1"/>
    </xf>
    <xf fontId="20" fillId="0" borderId="0" numFmtId="0" xfId="0" applyFont="1" applyProtection="1">
      <protection hidden="0" locked="1"/>
    </xf>
    <xf fontId="20" fillId="2" borderId="0" numFmtId="0" xfId="0" applyFont="1" applyFill="1" applyAlignment="1" applyProtection="1">
      <alignment horizontal="left"/>
      <protection hidden="0" locked="1"/>
    </xf>
    <xf fontId="19" fillId="2" borderId="0" numFmtId="0" xfId="0" applyFont="1" applyFill="1" applyAlignment="1" applyProtection="1">
      <alignment wrapText="1"/>
      <protection hidden="0" locked="1"/>
    </xf>
    <xf fontId="18" fillId="2" borderId="0" numFmtId="0" xfId="0" applyFont="1" applyFill="1" applyAlignment="1" applyProtection="1">
      <alignment horizontal="right"/>
      <protection hidden="0" locked="1"/>
    </xf>
    <xf fontId="21" fillId="2" borderId="0" numFmtId="0" xfId="6" applyFont="1" applyFill="1" applyProtection="1">
      <protection hidden="0" locked="1"/>
    </xf>
    <xf fontId="22" fillId="2" borderId="0" numFmtId="0" xfId="0" applyFont="1" applyFill="1" applyAlignment="1" applyProtection="1">
      <alignment horizontal="center"/>
      <protection hidden="0" locked="1"/>
    </xf>
    <xf fontId="20" fillId="0" borderId="0" numFmtId="0" xfId="0" applyFont="1" applyAlignment="1" applyProtection="1">
      <alignment horizontal="center"/>
      <protection hidden="0" locked="1"/>
    </xf>
    <xf fontId="23" fillId="2" borderId="0" numFmtId="0" xfId="0" applyFont="1" applyFill="1" applyAlignment="1" applyProtection="1">
      <alignment horizontal="center"/>
      <protection hidden="0" locked="1"/>
    </xf>
    <xf fontId="24" fillId="2" borderId="0" numFmtId="0" xfId="0" applyFont="1" applyFill="1" applyAlignment="1" applyProtection="1">
      <alignment horizontal="left"/>
      <protection hidden="0" locked="1"/>
    </xf>
    <xf fontId="1" fillId="0" borderId="0" numFmtId="0" xfId="6" applyFont="1" applyProtection="1">
      <protection hidden="0" locked="1"/>
    </xf>
    <xf fontId="25" fillId="0" borderId="0" numFmtId="0" xfId="6" applyFont="1" applyAlignment="1" applyProtection="1">
      <alignment horizontal="center"/>
      <protection hidden="0" locked="1"/>
    </xf>
    <xf fontId="26" fillId="2" borderId="33" numFmtId="0" xfId="6" applyFont="1" applyFill="1" applyBorder="1" applyAlignment="1" applyProtection="1">
      <alignment horizontal="center"/>
      <protection hidden="0" locked="1"/>
    </xf>
    <xf fontId="27" fillId="2" borderId="34" numFmtId="0" xfId="6" applyFont="1" applyFill="1" applyBorder="1" applyProtection="1">
      <protection hidden="0" locked="1"/>
    </xf>
    <xf fontId="1" fillId="0" borderId="34" numFmtId="0" xfId="6" applyFont="1" applyBorder="1" applyProtection="1">
      <protection hidden="0" locked="1"/>
    </xf>
    <xf fontId="27" fillId="0" borderId="34" numFmtId="0" xfId="6" applyFont="1" applyBorder="1" applyProtection="1">
      <protection hidden="0" locked="1"/>
    </xf>
    <xf fontId="6" fillId="2" borderId="34" numFmtId="0" xfId="6" applyFont="1" applyFill="1" applyBorder="1" applyAlignment="1" applyProtection="1">
      <alignment horizontal="center" vertical="center"/>
      <protection hidden="0" locked="1"/>
    </xf>
    <xf fontId="28" fillId="2" borderId="34" numFmtId="0" xfId="6" applyFont="1" applyFill="1" applyBorder="1" applyAlignment="1" applyProtection="1">
      <alignment horizontal="center" vertical="center"/>
      <protection hidden="0" locked="1"/>
    </xf>
    <xf fontId="6" fillId="2" borderId="34" numFmtId="0" xfId="6" applyFont="1" applyFill="1" applyBorder="1" applyAlignment="1" applyProtection="1">
      <alignment vertical="center"/>
      <protection hidden="0" locked="1"/>
    </xf>
    <xf fontId="27" fillId="2" borderId="21" numFmtId="0" xfId="6" applyFont="1" applyFill="1" applyBorder="1" applyProtection="1">
      <protection hidden="0" locked="1"/>
    </xf>
    <xf fontId="26" fillId="2" borderId="35" numFmtId="0" xfId="6" applyFont="1" applyFill="1" applyBorder="1" applyAlignment="1" applyProtection="1">
      <alignment horizontal="center"/>
      <protection hidden="0" locked="1"/>
    </xf>
    <xf fontId="27" fillId="2" borderId="0" numFmtId="0" xfId="6" applyFont="1" applyFill="1" applyProtection="1">
      <protection hidden="0" locked="1"/>
    </xf>
    <xf fontId="6" fillId="2" borderId="0" numFmtId="49" xfId="6" applyNumberFormat="1" applyFont="1" applyFill="1" applyAlignment="1" applyProtection="1">
      <alignment horizontal="center" vertical="center"/>
      <protection hidden="0" locked="1"/>
    </xf>
    <xf fontId="28" fillId="2" borderId="0" numFmtId="49" xfId="6" applyNumberFormat="1" applyFont="1" applyFill="1" applyAlignment="1" applyProtection="1">
      <alignment horizontal="center" vertical="center"/>
      <protection hidden="0" locked="1"/>
    </xf>
    <xf fontId="27" fillId="2" borderId="36" numFmtId="0" xfId="6" applyFont="1" applyFill="1" applyBorder="1" applyProtection="1">
      <protection hidden="0" locked="1"/>
    </xf>
    <xf fontId="29" fillId="2" borderId="35" numFmtId="0" xfId="6" applyFont="1" applyFill="1" applyBorder="1" applyAlignment="1" applyProtection="1">
      <alignment horizontal="center"/>
      <protection hidden="0" locked="1"/>
    </xf>
    <xf fontId="6" fillId="2" borderId="0" numFmtId="0" xfId="6" applyFont="1" applyFill="1" applyAlignment="1" applyProtection="1">
      <alignment horizontal="center" vertical="center"/>
      <protection hidden="0" locked="1"/>
    </xf>
    <xf fontId="28" fillId="2" borderId="0" numFmtId="0" xfId="6" applyFont="1" applyFill="1" applyAlignment="1" applyProtection="1">
      <alignment horizontal="center" vertical="center"/>
      <protection hidden="0" locked="1"/>
    </xf>
    <xf fontId="30" fillId="2" borderId="0" numFmtId="0" xfId="6" applyFont="1" applyFill="1" applyProtection="1">
      <protection hidden="0" locked="1"/>
    </xf>
    <xf fontId="28" fillId="2" borderId="0" numFmtId="14" xfId="6" applyNumberFormat="1" applyFont="1" applyFill="1" applyAlignment="1" applyProtection="1">
      <alignment vertical="center"/>
      <protection hidden="0" locked="1"/>
    </xf>
    <xf fontId="18" fillId="2" borderId="35" numFmtId="0" xfId="6" applyFont="1" applyFill="1" applyBorder="1" applyAlignment="1" applyProtection="1">
      <alignment horizontal="left"/>
      <protection hidden="0" locked="1"/>
    </xf>
    <xf fontId="31" fillId="2" borderId="0" numFmtId="0" xfId="6" applyFont="1" applyFill="1" applyProtection="1">
      <protection hidden="0" locked="1"/>
    </xf>
    <xf fontId="5" fillId="2" borderId="0" numFmtId="0" xfId="6" applyFont="1" applyFill="1" applyAlignment="1" applyProtection="1">
      <alignment horizontal="right"/>
      <protection hidden="0" locked="1"/>
    </xf>
    <xf fontId="32" fillId="2" borderId="0" numFmtId="14" xfId="6" applyNumberFormat="1" applyFont="1" applyFill="1" applyAlignment="1" applyProtection="1">
      <alignment horizontal="center"/>
      <protection hidden="0" locked="1"/>
    </xf>
    <xf fontId="27" fillId="2" borderId="0" numFmtId="0" xfId="6" applyFont="1" applyFill="1" applyAlignment="1" applyProtection="1">
      <alignment horizontal="center"/>
      <protection hidden="0" locked="1"/>
    </xf>
    <xf fontId="32" fillId="2" borderId="0" numFmtId="14" xfId="6" applyNumberFormat="1" applyFont="1" applyFill="1" applyAlignment="1" applyProtection="1">
      <alignment horizontal="center" vertical="center"/>
      <protection hidden="0" locked="1"/>
    </xf>
    <xf fontId="31" fillId="2" borderId="0" numFmtId="14" xfId="6" applyNumberFormat="1" applyFont="1" applyFill="1" applyAlignment="1" applyProtection="1">
      <alignment horizontal="center"/>
      <protection hidden="0" locked="1"/>
    </xf>
    <xf fontId="28" fillId="2" borderId="0" numFmtId="0" xfId="6" applyFont="1" applyFill="1" applyAlignment="1" applyProtection="1">
      <alignment vertical="center"/>
      <protection hidden="0" locked="1"/>
    </xf>
    <xf fontId="18" fillId="2" borderId="37" numFmtId="0" xfId="6" applyFont="1" applyFill="1" applyBorder="1" applyAlignment="1" applyProtection="1">
      <alignment horizontal="left"/>
      <protection hidden="0" locked="1"/>
    </xf>
    <xf fontId="27" fillId="0" borderId="38" numFmtId="0" xfId="6" applyFont="1" applyBorder="1" applyProtection="1">
      <protection hidden="0" locked="1"/>
    </xf>
    <xf fontId="27" fillId="2" borderId="38" numFmtId="0" xfId="6" applyFont="1" applyFill="1" applyBorder="1" applyProtection="1">
      <protection hidden="0" locked="1"/>
    </xf>
    <xf fontId="28" fillId="2" borderId="38" numFmtId="0" xfId="6" applyFont="1" applyFill="1" applyBorder="1" applyAlignment="1" applyProtection="1">
      <alignment vertical="center"/>
      <protection hidden="0" locked="1"/>
    </xf>
    <xf fontId="27" fillId="2" borderId="39" numFmtId="0" xfId="6" applyFont="1" applyFill="1" applyBorder="1" applyProtection="1">
      <protection hidden="0" locked="1"/>
    </xf>
    <xf fontId="31" fillId="3" borderId="33" numFmtId="0" xfId="6" applyFont="1" applyFill="1" applyBorder="1" applyAlignment="1" applyProtection="1">
      <alignment horizontal="center"/>
      <protection hidden="0" locked="1"/>
    </xf>
    <xf fontId="31" fillId="3" borderId="34" numFmtId="0" xfId="6" applyFont="1" applyFill="1" applyBorder="1" applyAlignment="1" applyProtection="1">
      <alignment horizontal="center"/>
      <protection hidden="0" locked="1"/>
    </xf>
    <xf fontId="31" fillId="3" borderId="34" numFmtId="14" xfId="6" applyNumberFormat="1" applyFont="1" applyFill="1" applyBorder="1" applyAlignment="1" applyProtection="1">
      <alignment horizontal="center"/>
      <protection hidden="0" locked="1"/>
    </xf>
    <xf fontId="31" fillId="3" borderId="21" numFmtId="0" xfId="6" applyFont="1" applyFill="1" applyBorder="1" applyAlignment="1" applyProtection="1">
      <alignment horizontal="center"/>
      <protection hidden="0" locked="1"/>
    </xf>
    <xf fontId="33" fillId="3" borderId="37" numFmtId="0" xfId="6" applyFont="1" applyFill="1" applyBorder="1" applyAlignment="1" applyProtection="1">
      <alignment horizontal="center"/>
      <protection hidden="0" locked="1"/>
    </xf>
    <xf fontId="33" fillId="3" borderId="38" numFmtId="0" xfId="6" applyFont="1" applyFill="1" applyBorder="1" applyAlignment="1" applyProtection="1">
      <alignment horizontal="center"/>
      <protection hidden="0" locked="1"/>
    </xf>
    <xf fontId="33" fillId="3" borderId="39" numFmtId="0" xfId="6" applyFont="1" applyFill="1" applyBorder="1" applyAlignment="1" applyProtection="1">
      <alignment horizontal="center"/>
      <protection hidden="0" locked="1"/>
    </xf>
    <xf fontId="34" fillId="0" borderId="0" numFmtId="0" xfId="6" applyFont="1" applyAlignment="1" applyProtection="1">
      <alignment horizontal="center"/>
      <protection hidden="0" locked="1"/>
    </xf>
    <xf fontId="11" fillId="2" borderId="22" numFmtId="0" xfId="6" applyFont="1" applyFill="1" applyBorder="1" applyAlignment="1" applyProtection="1">
      <alignment horizontal="center"/>
      <protection hidden="0" locked="1"/>
    </xf>
    <xf fontId="11" fillId="0" borderId="19" numFmtId="0" xfId="6" applyFont="1" applyBorder="1" applyAlignment="1" applyProtection="1">
      <alignment horizontal="center" wrapText="1"/>
      <protection hidden="0" locked="1"/>
    </xf>
    <xf fontId="11" fillId="0" borderId="19" numFmtId="167" xfId="6" applyNumberFormat="1" applyFont="1" applyBorder="1" applyAlignment="1" applyProtection="1">
      <alignment horizontal="center"/>
      <protection hidden="0" locked="1"/>
    </xf>
    <xf fontId="11" fillId="0" borderId="19" numFmtId="167" xfId="3" applyNumberFormat="1" applyFont="1" applyBorder="1" applyAlignment="1" applyProtection="1">
      <alignment horizontal="center"/>
      <protection hidden="0" locked="1"/>
    </xf>
    <xf fontId="11" fillId="0" borderId="19" numFmtId="164" xfId="3" applyNumberFormat="1" applyFont="1" applyBorder="1" applyAlignment="1" applyProtection="1">
      <alignment horizontal="left" wrapText="1"/>
      <protection hidden="0" locked="1"/>
    </xf>
    <xf fontId="11" fillId="0" borderId="19" numFmtId="167" xfId="3" applyNumberFormat="1" applyFont="1" applyBorder="1" applyProtection="1">
      <protection hidden="0" locked="1"/>
    </xf>
    <xf fontId="11" fillId="2" borderId="40" numFmtId="14" xfId="6" applyNumberFormat="1" applyFont="1" applyFill="1" applyBorder="1" applyAlignment="1" applyProtection="1">
      <alignment horizontal="center"/>
      <protection hidden="0" locked="1"/>
    </xf>
    <xf fontId="11" fillId="0" borderId="19" numFmtId="0" xfId="6" applyFont="1" applyBorder="1" applyAlignment="1" applyProtection="1">
      <alignment horizontal="center"/>
      <protection hidden="0" locked="1"/>
    </xf>
    <xf fontId="11" fillId="2" borderId="22" numFmtId="14" xfId="6" applyNumberFormat="1" applyFont="1" applyFill="1" applyBorder="1" applyAlignment="1" applyProtection="1">
      <alignment horizontal="center"/>
      <protection hidden="0" locked="1"/>
    </xf>
    <xf fontId="11" fillId="2" borderId="19" numFmtId="0" xfId="6" applyFont="1" applyFill="1" applyBorder="1" applyAlignment="1" applyProtection="1">
      <alignment horizontal="center"/>
      <protection hidden="0" locked="1"/>
    </xf>
    <xf fontId="6" fillId="9" borderId="0" numFmtId="0" xfId="6" applyFont="1" applyFill="1" applyAlignment="1" applyProtection="1">
      <alignment horizontal="center"/>
      <protection hidden="0" locked="1"/>
    </xf>
    <xf fontId="21" fillId="3" borderId="0" numFmtId="0" xfId="6" applyFont="1" applyFill="1" applyProtection="1">
      <protection hidden="0" locked="1"/>
    </xf>
    <xf fontId="35" fillId="3" borderId="0" numFmtId="0" xfId="6" applyFont="1" applyFill="1" applyProtection="1">
      <protection hidden="0" locked="1"/>
    </xf>
    <xf fontId="36" fillId="3" borderId="0" numFmtId="0" xfId="6" applyFont="1" applyFill="1" applyAlignment="1" applyProtection="1">
      <alignment horizontal="center"/>
      <protection hidden="0" locked="1"/>
    </xf>
    <xf fontId="6" fillId="3" borderId="0" numFmtId="0" xfId="6" applyFont="1" applyFill="1" applyAlignment="1" applyProtection="1">
      <alignment horizontal="right"/>
      <protection hidden="0" locked="1"/>
    </xf>
    <xf fontId="18" fillId="3" borderId="0" numFmtId="167" xfId="6" applyNumberFormat="1" applyFont="1" applyFill="1" applyAlignment="1" applyProtection="1">
      <alignment horizontal="right"/>
      <protection hidden="0" locked="1"/>
    </xf>
    <xf fontId="25" fillId="2" borderId="0" numFmtId="0" xfId="6" applyFont="1" applyFill="1" applyAlignment="1" applyProtection="1">
      <alignment horizontal="center"/>
      <protection hidden="0" locked="1"/>
    </xf>
    <xf fontId="37" fillId="0" borderId="0" numFmtId="0" xfId="6" applyFont="1" applyAlignment="1" applyProtection="1">
      <alignment horizontal="center"/>
      <protection hidden="0" locked="1"/>
    </xf>
    <xf fontId="37" fillId="0" borderId="0" numFmtId="164" xfId="3" applyNumberFormat="1" applyFont="1" applyAlignment="1" applyProtection="1">
      <alignment horizontal="center"/>
      <protection hidden="0" locked="1"/>
    </xf>
    <xf fontId="25" fillId="2" borderId="0" numFmtId="14" xfId="6" applyNumberFormat="1" applyFont="1" applyFill="1" applyAlignment="1" applyProtection="1">
      <alignment horizontal="center"/>
      <protection hidden="0" locked="1"/>
    </xf>
    <xf fontId="26" fillId="2" borderId="0" numFmtId="0" xfId="6" applyFont="1" applyFill="1" applyAlignment="1" applyProtection="1">
      <alignment horizontal="center"/>
      <protection hidden="0" locked="1"/>
    </xf>
    <xf fontId="29" fillId="2" borderId="0" numFmtId="0" xfId="6" applyFont="1" applyFill="1" applyAlignment="1" applyProtection="1">
      <alignment horizontal="center"/>
      <protection hidden="0" locked="1"/>
    </xf>
    <xf fontId="18" fillId="2" borderId="0" numFmtId="0" xfId="6" applyFont="1" applyFill="1" applyAlignment="1" applyProtection="1">
      <alignment horizontal="left"/>
      <protection hidden="0" locked="1"/>
    </xf>
    <xf fontId="38" fillId="2" borderId="0" numFmtId="14" xfId="6" applyNumberFormat="1" applyFont="1" applyFill="1" applyAlignment="1" applyProtection="1">
      <alignment horizontal="center" vertical="center"/>
      <protection hidden="0" locked="1"/>
    </xf>
    <xf fontId="39" fillId="2" borderId="0" numFmtId="14" xfId="6" applyNumberFormat="1" applyFont="1" applyFill="1" applyAlignment="1" applyProtection="1">
      <alignment horizontal="center" vertical="center"/>
      <protection hidden="0" locked="1"/>
    </xf>
    <xf fontId="27" fillId="0" borderId="0" numFmtId="0" xfId="6" applyFont="1" applyProtection="1">
      <protection hidden="0" locked="1"/>
    </xf>
    <xf fontId="38" fillId="0" borderId="0" numFmtId="0" xfId="6" applyFont="1" applyProtection="1">
      <protection hidden="0" locked="1"/>
    </xf>
    <xf fontId="31" fillId="3" borderId="35" numFmtId="0" xfId="6" applyFont="1" applyFill="1" applyBorder="1" applyAlignment="1" applyProtection="1">
      <alignment horizontal="center"/>
      <protection hidden="0" locked="1"/>
    </xf>
    <xf fontId="31" fillId="3" borderId="0" numFmtId="0" xfId="6" applyFont="1" applyFill="1" applyAlignment="1" applyProtection="1">
      <alignment horizontal="center"/>
      <protection hidden="0" locked="1"/>
    </xf>
    <xf fontId="33" fillId="3" borderId="35" numFmtId="0" xfId="6" applyFont="1" applyFill="1" applyBorder="1" applyAlignment="1" applyProtection="1">
      <alignment horizontal="center"/>
      <protection hidden="0" locked="1"/>
    </xf>
    <xf fontId="27" fillId="2" borderId="22" numFmtId="0" xfId="6" applyFont="1" applyFill="1" applyBorder="1" applyAlignment="1" applyProtection="1">
      <alignment horizontal="center"/>
      <protection hidden="0" locked="1"/>
    </xf>
    <xf fontId="40" fillId="0" borderId="19" numFmtId="0" xfId="6" applyFont="1" applyBorder="1" applyAlignment="1" applyProtection="1">
      <alignment horizontal="center" vertical="center" wrapText="1"/>
      <protection hidden="0" locked="1"/>
    </xf>
    <xf fontId="40" fillId="0" borderId="19" numFmtId="0" xfId="6" applyFont="1" applyBorder="1" applyAlignment="1" applyProtection="1">
      <alignment horizontal="center" wrapText="1"/>
      <protection hidden="0" locked="1"/>
    </xf>
    <xf fontId="41" fillId="0" borderId="19" numFmtId="164" xfId="3" applyNumberFormat="1" applyFont="1" applyBorder="1" applyAlignment="1" applyProtection="1">
      <alignment horizontal="center"/>
      <protection hidden="0" locked="1"/>
    </xf>
    <xf fontId="27" fillId="2" borderId="40" numFmtId="14" xfId="6" applyNumberFormat="1" applyFont="1" applyFill="1" applyBorder="1" applyAlignment="1" applyProtection="1">
      <alignment horizontal="center"/>
      <protection hidden="0" locked="1"/>
    </xf>
    <xf fontId="42" fillId="0" borderId="19" numFmtId="0" xfId="6" applyFont="1" applyBorder="1" applyAlignment="1" applyProtection="1">
      <alignment horizontal="center"/>
      <protection hidden="0" locked="1"/>
    </xf>
    <xf fontId="27" fillId="2" borderId="22" numFmtId="14" xfId="6" applyNumberFormat="1" applyFont="1" applyFill="1" applyBorder="1" applyAlignment="1" applyProtection="1">
      <alignment horizontal="center"/>
      <protection hidden="0" locked="1"/>
    </xf>
    <xf fontId="13" fillId="9" borderId="0" numFmtId="0" xfId="6" applyFont="1" applyFill="1" applyAlignment="1" applyProtection="1">
      <alignment horizontal="center"/>
      <protection hidden="0" locked="1"/>
    </xf>
    <xf fontId="21" fillId="3" borderId="34" numFmtId="0" xfId="6" applyFont="1" applyFill="1" applyBorder="1" applyProtection="1">
      <protection hidden="0" locked="1"/>
    </xf>
    <xf fontId="37" fillId="3" borderId="0" numFmtId="0" xfId="6" applyFont="1" applyFill="1" applyAlignment="1" applyProtection="1">
      <alignment horizontal="center"/>
      <protection hidden="0" locked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normal" topLeftCell="A1" zoomScale="80" workbookViewId="0">
      <pane ySplit="19" topLeftCell="A20" activePane="bottomLeft" state="frozen"/>
      <selection activeCell="G20" activeCellId="0" sqref="G20"/>
    </sheetView>
  </sheetViews>
  <sheetFormatPr defaultColWidth="8.6796875" defaultRowHeight="12.75" customHeight="1"/>
  <cols>
    <col customWidth="1" min="1" max="1" style="1" width="23.710000000000001"/>
    <col customWidth="1" min="2" max="2" style="1" width="16.710000000000001"/>
    <col customWidth="1" min="3" max="3" style="1" width="12.710000000000001"/>
    <col customWidth="1" min="4" max="4" style="1" width="11.57"/>
    <col customWidth="1" min="5" max="6" style="1" width="11.43"/>
    <col customWidth="1" min="7" max="7" style="1" width="9.7100000000000009"/>
    <col customWidth="1" min="8" max="8" style="1" width="10"/>
    <col customWidth="1" min="9" max="9" style="1" width="11.710000000000001"/>
    <col customWidth="1" min="10" max="10" style="1" width="11.289999999999999"/>
    <col customWidth="1" min="11" max="11" style="1" width="11.85"/>
    <col customWidth="1" min="12" max="12" style="1" width="22.710000000000001"/>
    <col customWidth="1" min="13" max="13" style="1" width="36.420000000000002"/>
    <col customWidth="1" min="14" max="14" style="1" width="12.710000000000001"/>
  </cols>
  <sheetData>
    <row r="1" ht="24">
      <c r="A1" s="2"/>
      <c r="B1" s="3"/>
      <c r="C1" s="3"/>
      <c r="D1" s="3"/>
      <c r="E1" s="3"/>
      <c r="F1" s="4"/>
      <c r="G1" s="4"/>
      <c r="H1" s="4" t="s">
        <v>0</v>
      </c>
      <c r="I1" s="5"/>
      <c r="J1" s="4"/>
      <c r="K1" s="4"/>
      <c r="L1" s="4"/>
      <c r="M1" s="4"/>
      <c r="N1" s="6"/>
    </row>
    <row r="2" ht="16.5">
      <c r="A2" s="7"/>
      <c r="B2" s="8"/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ht="21" customHeight="1">
      <c r="A3" s="11"/>
      <c r="B3" s="12"/>
      <c r="C3" s="12"/>
      <c r="D3" s="12"/>
      <c r="E3" s="12"/>
      <c r="F3" s="13" t="s">
        <v>1</v>
      </c>
      <c r="G3" s="13"/>
      <c r="H3" s="13"/>
      <c r="I3" s="13"/>
      <c r="J3" s="13"/>
      <c r="K3" s="14"/>
      <c r="L3" s="9" t="s">
        <v>2</v>
      </c>
      <c r="M3" s="15" t="s">
        <v>3</v>
      </c>
      <c r="N3" s="16"/>
    </row>
    <row r="4" ht="20.25" customHeight="1">
      <c r="A4" s="11"/>
      <c r="B4" s="12"/>
      <c r="C4" s="12"/>
      <c r="D4" s="12"/>
      <c r="E4" s="12"/>
      <c r="F4" s="13" t="s">
        <v>4</v>
      </c>
      <c r="G4" s="13"/>
      <c r="H4" s="13"/>
      <c r="I4" s="13"/>
      <c r="J4" s="13"/>
      <c r="K4" s="17"/>
      <c r="L4" s="18"/>
      <c r="M4" s="15" t="s">
        <v>5</v>
      </c>
      <c r="N4" s="19"/>
    </row>
    <row r="5" ht="21" customHeight="1">
      <c r="A5" s="20"/>
      <c r="B5" s="21"/>
      <c r="C5" s="21"/>
      <c r="D5" s="21"/>
      <c r="E5" s="21"/>
      <c r="F5" s="13" t="s">
        <v>6</v>
      </c>
      <c r="G5" s="13"/>
      <c r="H5" s="13"/>
      <c r="I5" s="13"/>
      <c r="J5" s="13"/>
      <c r="K5" s="14"/>
      <c r="L5" s="14"/>
      <c r="M5" s="15" t="s">
        <v>7</v>
      </c>
      <c r="N5" s="22"/>
    </row>
    <row r="6" ht="18.7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15" t="s">
        <v>8</v>
      </c>
      <c r="N6" s="23"/>
    </row>
    <row r="7" ht="17.25">
      <c r="A7" s="20"/>
      <c r="C7" s="24"/>
      <c r="D7" s="24"/>
      <c r="E7" s="24" t="s">
        <v>9</v>
      </c>
      <c r="F7" s="25">
        <v>46026</v>
      </c>
      <c r="G7" s="25"/>
      <c r="H7" s="25"/>
      <c r="I7" s="14" t="s">
        <v>10</v>
      </c>
      <c r="J7" s="26">
        <f>F7+6</f>
        <v>46032</v>
      </c>
      <c r="K7" s="26"/>
      <c r="L7" s="26"/>
      <c r="M7" s="21"/>
      <c r="N7" s="23"/>
    </row>
    <row r="8" ht="17.25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</row>
    <row r="9" ht="17.350000000000001" hidden="1">
      <c r="A9" s="24"/>
      <c r="C9" s="30"/>
      <c r="D9" s="30"/>
      <c r="E9" s="31"/>
      <c r="G9" s="32"/>
      <c r="I9" s="31"/>
      <c r="J9" s="31"/>
      <c r="K9" s="31"/>
      <c r="L9" s="31"/>
      <c r="M9" s="31"/>
    </row>
    <row r="10" ht="15" hidden="1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33"/>
    </row>
    <row r="11" ht="13.5">
      <c r="A11" s="34" t="s">
        <v>11</v>
      </c>
      <c r="B11" s="35"/>
      <c r="C11" s="35"/>
      <c r="D11" s="35">
        <v>2200</v>
      </c>
      <c r="E11" s="36" t="s">
        <v>12</v>
      </c>
      <c r="F11" s="35"/>
      <c r="G11" s="35"/>
      <c r="H11" s="35"/>
      <c r="I11" s="35"/>
      <c r="J11" s="35"/>
      <c r="K11" s="35"/>
      <c r="L11" s="35"/>
      <c r="M11" s="36"/>
      <c r="N11" s="37"/>
    </row>
    <row r="12" ht="13.5">
      <c r="A12" s="38">
        <v>1000</v>
      </c>
      <c r="B12" s="39" t="s">
        <v>13</v>
      </c>
      <c r="C12" s="39"/>
      <c r="D12" s="40">
        <v>2400</v>
      </c>
      <c r="E12" s="39" t="s">
        <v>14</v>
      </c>
      <c r="F12" s="39"/>
      <c r="G12" s="39"/>
      <c r="H12" s="41"/>
      <c r="I12" s="40"/>
      <c r="J12" s="39"/>
      <c r="K12" s="39" t="s">
        <v>15</v>
      </c>
      <c r="L12" s="39"/>
      <c r="M12" s="39"/>
      <c r="N12" s="42"/>
      <c r="O12" s="1"/>
    </row>
    <row r="13" ht="13.5">
      <c r="A13" s="38">
        <v>1200</v>
      </c>
      <c r="B13" s="39" t="s">
        <v>16</v>
      </c>
      <c r="C13" s="39"/>
      <c r="D13" s="40">
        <v>4000</v>
      </c>
      <c r="E13" s="39" t="s">
        <v>17</v>
      </c>
      <c r="F13" s="39"/>
      <c r="G13" s="39"/>
      <c r="H13" s="41"/>
      <c r="I13" s="40"/>
      <c r="J13" s="39"/>
      <c r="K13" s="39"/>
      <c r="L13" s="39"/>
      <c r="M13" s="39"/>
      <c r="N13" s="42"/>
      <c r="O13" s="1"/>
    </row>
    <row r="14" ht="13.5">
      <c r="A14" s="38">
        <v>1300</v>
      </c>
      <c r="B14" s="39" t="s">
        <v>18</v>
      </c>
      <c r="C14" s="39"/>
      <c r="D14" s="40">
        <v>4200</v>
      </c>
      <c r="E14" s="39" t="s">
        <v>19</v>
      </c>
      <c r="F14" s="39"/>
      <c r="G14" s="39"/>
      <c r="H14" s="41"/>
      <c r="I14" s="40"/>
      <c r="J14" s="39"/>
      <c r="K14" s="39"/>
      <c r="L14" s="39"/>
      <c r="M14" s="39"/>
      <c r="N14" s="42"/>
      <c r="O14" s="1"/>
    </row>
    <row r="15" ht="13.5">
      <c r="A15" s="38">
        <v>1400</v>
      </c>
      <c r="B15" s="39" t="s">
        <v>20</v>
      </c>
      <c r="C15" s="39"/>
      <c r="D15" s="40">
        <v>4400</v>
      </c>
      <c r="E15" s="39" t="s">
        <v>21</v>
      </c>
      <c r="F15" s="39"/>
      <c r="G15" s="39"/>
      <c r="H15" s="41"/>
      <c r="I15" s="40"/>
      <c r="J15" s="39"/>
      <c r="K15" s="39" t="s">
        <v>22</v>
      </c>
      <c r="L15" s="39"/>
      <c r="M15" s="43"/>
      <c r="N15" s="42"/>
    </row>
    <row r="16" ht="13.5">
      <c r="A16" s="38">
        <v>1500</v>
      </c>
      <c r="B16" s="39" t="s">
        <v>23</v>
      </c>
      <c r="C16" s="39"/>
      <c r="D16" s="40">
        <v>4700</v>
      </c>
      <c r="E16" s="39" t="s">
        <v>24</v>
      </c>
      <c r="F16" s="39"/>
      <c r="G16" s="39"/>
      <c r="H16" s="41"/>
      <c r="I16" s="40"/>
      <c r="J16" s="39"/>
      <c r="K16" s="39"/>
      <c r="L16" s="39"/>
      <c r="M16" s="43"/>
      <c r="N16" s="42"/>
    </row>
    <row r="17" ht="13.5">
      <c r="A17" s="38">
        <v>1600</v>
      </c>
      <c r="B17" s="39" t="s">
        <v>25</v>
      </c>
      <c r="C17" s="39"/>
      <c r="D17" s="40">
        <v>4800</v>
      </c>
      <c r="E17" s="39" t="s">
        <v>26</v>
      </c>
      <c r="F17" s="39"/>
      <c r="G17" s="39"/>
      <c r="H17" s="41"/>
      <c r="I17" s="40"/>
      <c r="J17" s="39"/>
      <c r="K17" s="39"/>
      <c r="L17" s="39"/>
      <c r="M17" s="43"/>
      <c r="N17" s="42"/>
    </row>
    <row r="18" ht="13.5">
      <c r="A18" s="44">
        <v>1700</v>
      </c>
      <c r="B18" s="45" t="s">
        <v>27</v>
      </c>
      <c r="C18" s="45"/>
      <c r="D18" s="46">
        <v>4900</v>
      </c>
      <c r="E18" s="45" t="s">
        <v>28</v>
      </c>
      <c r="F18" s="45"/>
      <c r="G18" s="45"/>
      <c r="H18" s="47"/>
      <c r="I18" s="46"/>
      <c r="J18" s="45"/>
      <c r="K18" s="48" t="s">
        <v>29</v>
      </c>
      <c r="L18" s="48"/>
      <c r="M18" s="48"/>
      <c r="N18" s="49"/>
    </row>
    <row r="19" s="50" customFormat="1" ht="38.200000000000003" customHeight="1">
      <c r="A19" s="51" t="s">
        <v>30</v>
      </c>
      <c r="B19" s="52" t="s">
        <v>31</v>
      </c>
      <c r="C19" s="53" t="s">
        <v>32</v>
      </c>
      <c r="D19" s="54" t="s">
        <v>33</v>
      </c>
      <c r="E19" s="55" t="s">
        <v>34</v>
      </c>
      <c r="F19" s="56" t="s">
        <v>35</v>
      </c>
      <c r="G19" s="57" t="s">
        <v>36</v>
      </c>
      <c r="H19" s="57"/>
      <c r="I19" s="57"/>
      <c r="J19" s="57"/>
      <c r="K19" s="57"/>
      <c r="L19" s="57"/>
      <c r="M19" s="57"/>
      <c r="N19" s="58" t="s">
        <v>37</v>
      </c>
    </row>
    <row r="20" s="50" customFormat="1" ht="30" customHeight="1">
      <c r="A20" s="59"/>
      <c r="B20" s="60"/>
      <c r="C20" s="61"/>
      <c r="D20" s="62"/>
      <c r="E20" s="63"/>
      <c r="F20" s="64"/>
      <c r="G20" s="65"/>
      <c r="H20" s="65"/>
      <c r="I20" s="65"/>
      <c r="J20" s="65"/>
      <c r="K20" s="65"/>
      <c r="L20" s="65"/>
      <c r="M20" s="65"/>
      <c r="N20" s="66" t="s">
        <v>38</v>
      </c>
      <c r="O20" s="67"/>
    </row>
    <row r="21" s="50" customFormat="1" ht="30" customHeight="1">
      <c r="A21" s="68" t="str">
        <f>TEXT(A22,"dddd")</f>
        <v>Sunday</v>
      </c>
      <c r="B21" s="69"/>
      <c r="C21" s="70"/>
      <c r="D21" s="71"/>
      <c r="E21" s="72"/>
      <c r="F21" s="73"/>
      <c r="G21" s="74"/>
      <c r="H21" s="74"/>
      <c r="I21" s="74"/>
      <c r="J21" s="74"/>
      <c r="K21" s="74"/>
      <c r="L21" s="74"/>
      <c r="M21" s="74"/>
      <c r="N21" s="66"/>
      <c r="O21" s="67"/>
    </row>
    <row r="22" s="50" customFormat="1" ht="30" customHeight="1">
      <c r="A22" s="75">
        <f>F7</f>
        <v>46026</v>
      </c>
      <c r="B22" s="76"/>
      <c r="C22" s="77"/>
      <c r="D22" s="78"/>
      <c r="E22" s="79"/>
      <c r="F22" s="80"/>
      <c r="G22" s="74"/>
      <c r="H22" s="74"/>
      <c r="I22" s="74"/>
      <c r="J22" s="74"/>
      <c r="K22" s="74"/>
      <c r="L22" s="74"/>
      <c r="M22" s="74"/>
      <c r="N22" s="66"/>
      <c r="O22" s="67"/>
    </row>
    <row r="23" s="50" customFormat="1" ht="30" customHeight="1">
      <c r="A23" s="81" t="s">
        <v>39</v>
      </c>
      <c r="B23" s="82"/>
      <c r="C23" s="70"/>
      <c r="D23" s="71"/>
      <c r="E23" s="72"/>
      <c r="F23" s="73"/>
      <c r="G23" s="74"/>
      <c r="H23" s="74"/>
      <c r="I23" s="74"/>
      <c r="J23" s="74"/>
      <c r="K23" s="74"/>
      <c r="L23" s="74"/>
      <c r="M23" s="74"/>
      <c r="N23" s="66"/>
      <c r="O23" s="67"/>
    </row>
    <row r="24" s="50" customFormat="1" ht="30" customHeight="1">
      <c r="A24" s="83"/>
      <c r="B24" s="84"/>
      <c r="C24" s="85"/>
      <c r="D24" s="86"/>
      <c r="E24" s="87"/>
      <c r="F24" s="88"/>
      <c r="G24" s="89"/>
      <c r="H24" s="89"/>
      <c r="I24" s="89"/>
      <c r="J24" s="89"/>
      <c r="K24" s="89"/>
      <c r="L24" s="89"/>
      <c r="M24" s="89"/>
      <c r="N24" s="90" t="b">
        <f>FALSE()</f>
        <v>0</v>
      </c>
      <c r="O24" s="67">
        <f>SUM(D20:F24)</f>
        <v>0</v>
      </c>
    </row>
    <row r="25" s="50" customFormat="1" ht="30" customHeight="1">
      <c r="A25" s="59"/>
      <c r="B25" s="91"/>
      <c r="C25" s="92"/>
      <c r="D25" s="93"/>
      <c r="E25" s="94"/>
      <c r="F25" s="95"/>
      <c r="G25" s="96"/>
      <c r="H25" s="96"/>
      <c r="I25" s="96"/>
      <c r="J25" s="96"/>
      <c r="K25" s="96"/>
      <c r="L25" s="96"/>
      <c r="M25" s="96"/>
      <c r="N25" s="66" t="s">
        <v>38</v>
      </c>
      <c r="O25" s="67"/>
    </row>
    <row r="26" s="50" customFormat="1" ht="30" customHeight="1">
      <c r="A26" s="68" t="str">
        <f>TEXT(A27,"dddd")</f>
        <v>Monday</v>
      </c>
      <c r="B26" s="69"/>
      <c r="C26" s="70"/>
      <c r="D26" s="71"/>
      <c r="E26" s="72"/>
      <c r="F26" s="73"/>
      <c r="G26" s="97"/>
      <c r="H26" s="97"/>
      <c r="I26" s="97"/>
      <c r="J26" s="97"/>
      <c r="K26" s="97"/>
      <c r="L26" s="97"/>
      <c r="M26" s="97"/>
      <c r="N26" s="66"/>
      <c r="O26" s="67"/>
    </row>
    <row r="27" s="50" customFormat="1" ht="30" customHeight="1">
      <c r="A27" s="75">
        <f>A22+1</f>
        <v>46027</v>
      </c>
      <c r="B27" s="69"/>
      <c r="C27" s="70"/>
      <c r="D27" s="71"/>
      <c r="E27" s="72"/>
      <c r="F27" s="73"/>
      <c r="G27" s="97"/>
      <c r="H27" s="97"/>
      <c r="I27" s="97"/>
      <c r="J27" s="97"/>
      <c r="K27" s="97"/>
      <c r="L27" s="97"/>
      <c r="M27" s="97"/>
      <c r="N27" s="66"/>
      <c r="O27" s="67"/>
    </row>
    <row r="28" s="50" customFormat="1" ht="30" customHeight="1">
      <c r="A28" s="68"/>
      <c r="B28" s="69"/>
      <c r="C28" s="70"/>
      <c r="D28" s="71"/>
      <c r="E28" s="72"/>
      <c r="F28" s="73"/>
      <c r="G28" s="97"/>
      <c r="H28" s="97"/>
      <c r="I28" s="97"/>
      <c r="J28" s="97"/>
      <c r="K28" s="97"/>
      <c r="L28" s="97"/>
      <c r="M28" s="97"/>
      <c r="N28" s="66"/>
      <c r="O28" s="67"/>
    </row>
    <row r="29" s="50" customFormat="1" ht="30" customHeight="1">
      <c r="A29" s="83"/>
      <c r="B29" s="84"/>
      <c r="C29" s="85"/>
      <c r="D29" s="86"/>
      <c r="E29" s="87"/>
      <c r="F29" s="88"/>
      <c r="G29" s="98"/>
      <c r="H29" s="98"/>
      <c r="I29" s="98"/>
      <c r="J29" s="98"/>
      <c r="K29" s="98"/>
      <c r="L29" s="98"/>
      <c r="M29" s="98"/>
      <c r="N29" s="90" t="b">
        <f>FALSE()</f>
        <v>0</v>
      </c>
      <c r="O29" s="67">
        <f>SUM(D25:F29)</f>
        <v>0</v>
      </c>
    </row>
    <row r="30" s="50" customFormat="1" ht="30" customHeight="1">
      <c r="A30" s="59"/>
      <c r="B30" s="91"/>
      <c r="C30" s="92"/>
      <c r="D30" s="93"/>
      <c r="E30" s="94"/>
      <c r="F30" s="95"/>
      <c r="G30" s="96"/>
      <c r="H30" s="96"/>
      <c r="I30" s="96"/>
      <c r="J30" s="96"/>
      <c r="K30" s="96"/>
      <c r="L30" s="96"/>
      <c r="M30" s="96"/>
      <c r="N30" s="66" t="s">
        <v>38</v>
      </c>
      <c r="O30" s="67"/>
    </row>
    <row r="31" s="50" customFormat="1" ht="30" customHeight="1">
      <c r="A31" s="68" t="str">
        <f>TEXT(A32,"dddd")</f>
        <v>Tuesday</v>
      </c>
      <c r="B31" s="69"/>
      <c r="C31" s="70"/>
      <c r="D31" s="71"/>
      <c r="E31" s="72"/>
      <c r="F31" s="73"/>
      <c r="G31" s="97"/>
      <c r="H31" s="97"/>
      <c r="I31" s="97"/>
      <c r="J31" s="97"/>
      <c r="K31" s="97"/>
      <c r="L31" s="97"/>
      <c r="M31" s="97"/>
      <c r="N31" s="66"/>
      <c r="O31" s="67"/>
    </row>
    <row r="32" s="50" customFormat="1" ht="30" customHeight="1">
      <c r="A32" s="75">
        <f>A27+1</f>
        <v>46028</v>
      </c>
      <c r="B32" s="69"/>
      <c r="C32" s="70"/>
      <c r="D32" s="71"/>
      <c r="E32" s="72"/>
      <c r="F32" s="73"/>
      <c r="G32" s="97"/>
      <c r="H32" s="97"/>
      <c r="I32" s="97"/>
      <c r="J32" s="97"/>
      <c r="K32" s="97"/>
      <c r="L32" s="97"/>
      <c r="M32" s="97"/>
      <c r="N32" s="66"/>
      <c r="O32" s="67"/>
    </row>
    <row r="33" s="50" customFormat="1" ht="30" customHeight="1">
      <c r="A33" s="68"/>
      <c r="B33" s="69"/>
      <c r="C33" s="70"/>
      <c r="D33" s="71"/>
      <c r="E33" s="72"/>
      <c r="F33" s="73"/>
      <c r="G33" s="97"/>
      <c r="H33" s="97"/>
      <c r="I33" s="97"/>
      <c r="J33" s="97"/>
      <c r="K33" s="97"/>
      <c r="L33" s="97"/>
      <c r="M33" s="97"/>
      <c r="N33" s="66"/>
      <c r="O33" s="67"/>
    </row>
    <row r="34" s="50" customFormat="1" ht="30" customHeight="1">
      <c r="A34" s="83"/>
      <c r="B34" s="84"/>
      <c r="C34" s="85"/>
      <c r="D34" s="86"/>
      <c r="E34" s="87"/>
      <c r="F34" s="88"/>
      <c r="G34" s="98"/>
      <c r="H34" s="98"/>
      <c r="I34" s="98"/>
      <c r="J34" s="98"/>
      <c r="K34" s="98"/>
      <c r="L34" s="98"/>
      <c r="M34" s="98"/>
      <c r="N34" s="90" t="b">
        <f>FALSE()</f>
        <v>0</v>
      </c>
      <c r="O34" s="67">
        <f>SUM(D30:F34)</f>
        <v>0</v>
      </c>
    </row>
    <row r="35" s="50" customFormat="1" ht="30" customHeight="1">
      <c r="A35" s="59"/>
      <c r="B35" s="91"/>
      <c r="C35" s="92"/>
      <c r="D35" s="93"/>
      <c r="E35" s="94"/>
      <c r="F35" s="95"/>
      <c r="G35" s="96"/>
      <c r="H35" s="96"/>
      <c r="I35" s="96"/>
      <c r="J35" s="96"/>
      <c r="K35" s="96"/>
      <c r="L35" s="96"/>
      <c r="M35" s="96"/>
      <c r="N35" s="66" t="s">
        <v>38</v>
      </c>
      <c r="O35" s="67"/>
    </row>
    <row r="36" s="50" customFormat="1" ht="30" customHeight="1">
      <c r="A36" s="68" t="str">
        <f>TEXT(A37,"dddd")</f>
        <v>Wednesday</v>
      </c>
      <c r="B36" s="82"/>
      <c r="C36" s="70"/>
      <c r="D36" s="71"/>
      <c r="E36" s="72"/>
      <c r="F36" s="73"/>
      <c r="G36" s="97"/>
      <c r="H36" s="97"/>
      <c r="I36" s="97"/>
      <c r="J36" s="97"/>
      <c r="K36" s="97"/>
      <c r="L36" s="97"/>
      <c r="M36" s="97"/>
      <c r="N36" s="66"/>
      <c r="O36" s="67"/>
    </row>
    <row r="37" s="50" customFormat="1" ht="30" customHeight="1">
      <c r="A37" s="75">
        <f>A32+1</f>
        <v>46029</v>
      </c>
      <c r="B37" s="69"/>
      <c r="C37" s="70"/>
      <c r="D37" s="71"/>
      <c r="E37" s="72"/>
      <c r="F37" s="73"/>
      <c r="G37" s="97"/>
      <c r="H37" s="97"/>
      <c r="I37" s="97"/>
      <c r="J37" s="97"/>
      <c r="K37" s="97"/>
      <c r="L37" s="97"/>
      <c r="M37" s="97"/>
      <c r="N37" s="66"/>
      <c r="O37" s="67"/>
    </row>
    <row r="38" s="50" customFormat="1" ht="30" customHeight="1">
      <c r="A38" s="68"/>
      <c r="B38" s="69"/>
      <c r="C38" s="70"/>
      <c r="D38" s="71"/>
      <c r="E38" s="72"/>
      <c r="F38" s="73"/>
      <c r="G38" s="97"/>
      <c r="H38" s="97"/>
      <c r="I38" s="97"/>
      <c r="J38" s="97"/>
      <c r="K38" s="97"/>
      <c r="L38" s="97"/>
      <c r="M38" s="97"/>
      <c r="N38" s="66"/>
      <c r="O38" s="67"/>
    </row>
    <row r="39" s="50" customFormat="1" ht="30" customHeight="1">
      <c r="A39" s="83"/>
      <c r="B39" s="84"/>
      <c r="C39" s="85"/>
      <c r="D39" s="86"/>
      <c r="E39" s="87"/>
      <c r="F39" s="88"/>
      <c r="G39" s="98"/>
      <c r="H39" s="98"/>
      <c r="I39" s="98"/>
      <c r="J39" s="98"/>
      <c r="K39" s="98"/>
      <c r="L39" s="98"/>
      <c r="M39" s="98"/>
      <c r="N39" s="90" t="b">
        <f>FALSE()</f>
        <v>0</v>
      </c>
      <c r="O39" s="67">
        <f>SUM(D35:F39)</f>
        <v>0</v>
      </c>
    </row>
    <row r="40" s="50" customFormat="1" ht="30" customHeight="1">
      <c r="A40" s="59"/>
      <c r="B40" s="99"/>
      <c r="C40" s="92"/>
      <c r="D40" s="93"/>
      <c r="E40" s="94"/>
      <c r="F40" s="95"/>
      <c r="G40" s="96"/>
      <c r="H40" s="96"/>
      <c r="I40" s="96"/>
      <c r="J40" s="96"/>
      <c r="K40" s="96"/>
      <c r="L40" s="96"/>
      <c r="M40" s="96"/>
      <c r="N40" s="66" t="s">
        <v>38</v>
      </c>
      <c r="O40" s="67"/>
    </row>
    <row r="41" s="50" customFormat="1" ht="30" customHeight="1">
      <c r="A41" s="68" t="str">
        <f>TEXT(A42,"dddd")</f>
        <v>Thursday</v>
      </c>
      <c r="B41" s="69"/>
      <c r="C41" s="70"/>
      <c r="D41" s="71"/>
      <c r="E41" s="72"/>
      <c r="F41" s="73"/>
      <c r="G41" s="97"/>
      <c r="H41" s="97"/>
      <c r="I41" s="97"/>
      <c r="J41" s="97"/>
      <c r="K41" s="97"/>
      <c r="L41" s="97"/>
      <c r="M41" s="97"/>
      <c r="N41" s="66"/>
      <c r="O41" s="67"/>
    </row>
    <row r="42" s="50" customFormat="1" ht="30" customHeight="1">
      <c r="A42" s="75">
        <f>A37+1</f>
        <v>46030</v>
      </c>
      <c r="B42" s="69"/>
      <c r="C42" s="70"/>
      <c r="D42" s="71"/>
      <c r="E42" s="72"/>
      <c r="F42" s="73"/>
      <c r="G42" s="97"/>
      <c r="H42" s="97"/>
      <c r="I42" s="97"/>
      <c r="J42" s="97"/>
      <c r="K42" s="97"/>
      <c r="L42" s="97"/>
      <c r="M42" s="97"/>
      <c r="N42" s="66"/>
      <c r="O42" s="67"/>
    </row>
    <row r="43" s="50" customFormat="1" ht="30" customHeight="1">
      <c r="A43" s="68"/>
      <c r="B43" s="69"/>
      <c r="C43" s="70"/>
      <c r="D43" s="71"/>
      <c r="E43" s="72"/>
      <c r="F43" s="73"/>
      <c r="G43" s="97"/>
      <c r="H43" s="97"/>
      <c r="I43" s="97"/>
      <c r="J43" s="97"/>
      <c r="K43" s="97"/>
      <c r="L43" s="97"/>
      <c r="M43" s="97"/>
      <c r="N43" s="66"/>
      <c r="O43" s="67"/>
    </row>
    <row r="44" s="50" customFormat="1" ht="30" customHeight="1">
      <c r="A44" s="83"/>
      <c r="B44" s="84"/>
      <c r="C44" s="85"/>
      <c r="D44" s="86"/>
      <c r="E44" s="87"/>
      <c r="F44" s="88"/>
      <c r="G44" s="98"/>
      <c r="H44" s="98"/>
      <c r="I44" s="98"/>
      <c r="J44" s="98"/>
      <c r="K44" s="98"/>
      <c r="L44" s="98"/>
      <c r="M44" s="98"/>
      <c r="N44" s="90" t="b">
        <f>FALSE()</f>
        <v>0</v>
      </c>
      <c r="O44" s="67">
        <f>SUM(D40:F44)</f>
        <v>0</v>
      </c>
    </row>
    <row r="45" s="50" customFormat="1" ht="30" customHeight="1">
      <c r="A45" s="100"/>
      <c r="B45" s="99"/>
      <c r="C45" s="92"/>
      <c r="D45" s="93"/>
      <c r="E45" s="94"/>
      <c r="F45" s="95"/>
      <c r="G45" s="96"/>
      <c r="H45" s="96"/>
      <c r="I45" s="96"/>
      <c r="J45" s="96"/>
      <c r="K45" s="96"/>
      <c r="L45" s="96"/>
      <c r="M45" s="96"/>
      <c r="N45" s="66" t="s">
        <v>38</v>
      </c>
      <c r="O45" s="67"/>
    </row>
    <row r="46" s="50" customFormat="1" ht="30" customHeight="1">
      <c r="A46" s="68" t="str">
        <f>TEXT(A47,"dddd")</f>
        <v>Friday</v>
      </c>
      <c r="B46" s="82"/>
      <c r="C46" s="70"/>
      <c r="D46" s="71"/>
      <c r="E46" s="72"/>
      <c r="F46" s="73"/>
      <c r="G46" s="97"/>
      <c r="H46" s="97"/>
      <c r="I46" s="97"/>
      <c r="J46" s="97"/>
      <c r="K46" s="97"/>
      <c r="L46" s="97"/>
      <c r="M46" s="97"/>
      <c r="N46" s="66"/>
      <c r="O46" s="67"/>
    </row>
    <row r="47" s="50" customFormat="1" ht="30" customHeight="1">
      <c r="A47" s="101">
        <f>A42+1</f>
        <v>46031</v>
      </c>
      <c r="B47" s="82"/>
      <c r="C47" s="70"/>
      <c r="D47" s="71"/>
      <c r="E47" s="72"/>
      <c r="F47" s="73"/>
      <c r="G47" s="97"/>
      <c r="H47" s="97"/>
      <c r="I47" s="97"/>
      <c r="J47" s="97"/>
      <c r="K47" s="97"/>
      <c r="L47" s="97"/>
      <c r="M47" s="97"/>
      <c r="N47" s="66"/>
      <c r="O47" s="67"/>
    </row>
    <row r="48" s="50" customFormat="1" ht="30" customHeight="1">
      <c r="A48" s="68"/>
      <c r="B48" s="82"/>
      <c r="C48" s="70"/>
      <c r="D48" s="71"/>
      <c r="E48" s="72"/>
      <c r="F48" s="73"/>
      <c r="G48" s="97"/>
      <c r="H48" s="97"/>
      <c r="I48" s="97"/>
      <c r="J48" s="97"/>
      <c r="K48" s="97"/>
      <c r="L48" s="97"/>
      <c r="M48" s="97"/>
      <c r="N48" s="66"/>
      <c r="O48" s="67"/>
    </row>
    <row r="49" s="50" customFormat="1" ht="30" customHeight="1">
      <c r="A49" s="83"/>
      <c r="B49" s="102"/>
      <c r="C49" s="85"/>
      <c r="D49" s="86"/>
      <c r="E49" s="87"/>
      <c r="F49" s="88"/>
      <c r="G49" s="98"/>
      <c r="H49" s="98"/>
      <c r="I49" s="98"/>
      <c r="J49" s="98"/>
      <c r="K49" s="98"/>
      <c r="L49" s="98"/>
      <c r="M49" s="98"/>
      <c r="N49" s="90" t="b">
        <f>FALSE()</f>
        <v>0</v>
      </c>
      <c r="O49" s="67">
        <f>SUM(D45:F49)</f>
        <v>0</v>
      </c>
    </row>
    <row r="50" s="50" customFormat="1" ht="30" customHeight="1">
      <c r="A50" s="59"/>
      <c r="B50" s="91"/>
      <c r="C50" s="92"/>
      <c r="D50" s="93"/>
      <c r="E50" s="94"/>
      <c r="F50" s="95"/>
      <c r="G50" s="96"/>
      <c r="H50" s="96"/>
      <c r="I50" s="96"/>
      <c r="J50" s="96"/>
      <c r="K50" s="96"/>
      <c r="L50" s="96"/>
      <c r="M50" s="96"/>
      <c r="N50" s="66" t="s">
        <v>38</v>
      </c>
      <c r="O50" s="67"/>
    </row>
    <row r="51" s="50" customFormat="1" ht="30" customHeight="1">
      <c r="A51" s="68" t="str">
        <f>TEXT(A52,"dddd")</f>
        <v>Saturday</v>
      </c>
      <c r="B51" s="69"/>
      <c r="C51" s="70"/>
      <c r="D51" s="71"/>
      <c r="E51" s="72"/>
      <c r="F51" s="73"/>
      <c r="G51" s="97"/>
      <c r="H51" s="97"/>
      <c r="I51" s="97"/>
      <c r="J51" s="97"/>
      <c r="K51" s="97"/>
      <c r="L51" s="97"/>
      <c r="M51" s="97"/>
      <c r="N51" s="66"/>
      <c r="O51" s="67"/>
    </row>
    <row r="52" s="50" customFormat="1" ht="30" customHeight="1">
      <c r="A52" s="75">
        <f>A47+1</f>
        <v>46032</v>
      </c>
      <c r="B52" s="69"/>
      <c r="C52" s="70"/>
      <c r="D52" s="71"/>
      <c r="E52" s="72"/>
      <c r="F52" s="73"/>
      <c r="G52" s="97"/>
      <c r="H52" s="97"/>
      <c r="I52" s="97"/>
      <c r="J52" s="97"/>
      <c r="K52" s="97"/>
      <c r="L52" s="97"/>
      <c r="M52" s="97"/>
      <c r="N52" s="66"/>
      <c r="O52" s="67"/>
    </row>
    <row r="53" s="50" customFormat="1" ht="30" customHeight="1">
      <c r="A53" s="68"/>
      <c r="B53" s="69"/>
      <c r="C53" s="70"/>
      <c r="D53" s="71"/>
      <c r="E53" s="72"/>
      <c r="F53" s="73"/>
      <c r="G53" s="97"/>
      <c r="H53" s="97"/>
      <c r="I53" s="97"/>
      <c r="J53" s="97"/>
      <c r="K53" s="97"/>
      <c r="L53" s="97"/>
      <c r="M53" s="97"/>
      <c r="N53" s="66"/>
      <c r="O53" s="67"/>
    </row>
    <row r="54" s="50" customFormat="1" ht="30" customHeight="1">
      <c r="A54" s="103"/>
      <c r="B54" s="84"/>
      <c r="C54" s="85"/>
      <c r="D54" s="86"/>
      <c r="E54" s="87"/>
      <c r="F54" s="88"/>
      <c r="G54" s="98"/>
      <c r="H54" s="98"/>
      <c r="I54" s="98"/>
      <c r="J54" s="98"/>
      <c r="K54" s="98"/>
      <c r="L54" s="98"/>
      <c r="M54" s="98"/>
      <c r="N54" s="90" t="b">
        <f>FALSE()</f>
        <v>0</v>
      </c>
      <c r="O54" s="67">
        <f>SUM(D50:F54)</f>
        <v>0</v>
      </c>
    </row>
    <row r="55" s="50" customFormat="1" ht="18.75" customHeight="1">
      <c r="A55" s="104"/>
      <c r="B55" s="105"/>
      <c r="C55" s="105"/>
      <c r="D55" s="106" t="s">
        <v>40</v>
      </c>
      <c r="E55" s="106" t="s">
        <v>41</v>
      </c>
      <c r="F55" s="106" t="s">
        <v>42</v>
      </c>
      <c r="G55" s="107"/>
      <c r="H55" s="107"/>
      <c r="I55" s="107"/>
      <c r="J55" s="107"/>
      <c r="K55" s="107"/>
      <c r="L55" s="107"/>
      <c r="M55" s="107"/>
      <c r="N55" s="106"/>
    </row>
    <row r="56" s="50" customFormat="1" ht="23.25" customHeight="1">
      <c r="B56" s="105"/>
      <c r="C56" s="108" t="s">
        <v>43</v>
      </c>
      <c r="D56" s="106">
        <f>SUM(D20:D54)</f>
        <v>0</v>
      </c>
      <c r="E56" s="106">
        <f>SUM(E20:E54)</f>
        <v>0</v>
      </c>
      <c r="F56" s="106">
        <f>SUM(F20:F54)</f>
        <v>0</v>
      </c>
      <c r="G56" s="109" t="s">
        <v>44</v>
      </c>
      <c r="H56" s="109"/>
      <c r="I56" s="109"/>
      <c r="J56" s="109"/>
      <c r="K56" s="110">
        <f>SUM(D56,(E56),(F56))</f>
        <v>0</v>
      </c>
      <c r="L56" s="111" t="s">
        <v>45</v>
      </c>
      <c r="M56" s="111"/>
      <c r="N56" s="112">
        <f>COUNTIF(N20:N54,TRUE())*50</f>
        <v>0</v>
      </c>
    </row>
    <row r="57" s="113" customFormat="1" ht="15">
      <c r="A57" s="108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5"/>
      <c r="N57" s="114"/>
    </row>
    <row r="58" s="113" customFormat="1" ht="36">
      <c r="A58" s="116" t="s">
        <v>46</v>
      </c>
      <c r="B58" s="116"/>
      <c r="C58" s="117" t="str">
        <f>M3</f>
        <v xml:space="preserve">CHRISTOPHER PANICI</v>
      </c>
      <c r="D58" s="118"/>
      <c r="E58" s="119"/>
      <c r="F58" s="120"/>
      <c r="G58" s="121"/>
      <c r="H58" s="121"/>
      <c r="I58" s="121"/>
      <c r="J58" s="121"/>
      <c r="K58" s="121"/>
      <c r="L58" s="121"/>
      <c r="M58" s="121"/>
      <c r="N58" s="120"/>
    </row>
  </sheetData>
  <mergeCells count="52">
    <mergeCell ref="F3:J3"/>
    <mergeCell ref="F4:J4"/>
    <mergeCell ref="F5:J5"/>
    <mergeCell ref="F7:H7"/>
    <mergeCell ref="J7:K7"/>
    <mergeCell ref="B11:C11"/>
    <mergeCell ref="G19:M19"/>
    <mergeCell ref="G20:M20"/>
    <mergeCell ref="N20:N23"/>
    <mergeCell ref="G21:M21"/>
    <mergeCell ref="G22:M22"/>
    <mergeCell ref="G23:M23"/>
    <mergeCell ref="G24:M24"/>
    <mergeCell ref="G25:M25"/>
    <mergeCell ref="N25:N28"/>
    <mergeCell ref="G26:M26"/>
    <mergeCell ref="G27:M27"/>
    <mergeCell ref="G28:M28"/>
    <mergeCell ref="G29:M29"/>
    <mergeCell ref="G30:M30"/>
    <mergeCell ref="N30:N33"/>
    <mergeCell ref="G31:M31"/>
    <mergeCell ref="G32:M32"/>
    <mergeCell ref="G33:M33"/>
    <mergeCell ref="G34:M34"/>
    <mergeCell ref="G35:M35"/>
    <mergeCell ref="N35:N38"/>
    <mergeCell ref="G36:M36"/>
    <mergeCell ref="G37:M37"/>
    <mergeCell ref="G38:M38"/>
    <mergeCell ref="G39:M39"/>
    <mergeCell ref="G40:M40"/>
    <mergeCell ref="N40:N43"/>
    <mergeCell ref="G41:M41"/>
    <mergeCell ref="G42:M42"/>
    <mergeCell ref="G43:M43"/>
    <mergeCell ref="G44:M44"/>
    <mergeCell ref="G45:M45"/>
    <mergeCell ref="N45:N48"/>
    <mergeCell ref="G46:M46"/>
    <mergeCell ref="G47:M47"/>
    <mergeCell ref="G48:M48"/>
    <mergeCell ref="G49:M49"/>
    <mergeCell ref="G50:M50"/>
    <mergeCell ref="N50:N53"/>
    <mergeCell ref="G51:M51"/>
    <mergeCell ref="G52:M52"/>
    <mergeCell ref="G53:M53"/>
    <mergeCell ref="G54:M54"/>
    <mergeCell ref="G56:J56"/>
    <mergeCell ref="L56:M56"/>
    <mergeCell ref="A58:B58"/>
  </mergeCells>
  <printOptions headings="0" gridLines="0" horizontalCentered="0" verticalCentered="0"/>
  <pageMargins left="0.25" right="0.25" top="0.25" bottom="0.2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normal" topLeftCell="A1" zoomScale="100" workbookViewId="0">
      <pane ySplit="8" topLeftCell="A9" activePane="bottomLeft" state="frozen"/>
      <selection activeCell="O10" activeCellId="0" sqref="O10"/>
    </sheetView>
  </sheetViews>
  <sheetFormatPr defaultColWidth="8.859375" defaultRowHeight="12.75" customHeight="1"/>
  <cols>
    <col customWidth="1" min="1" max="1" style="123" width="12.42"/>
    <col customWidth="1" min="2" max="2" style="122" width="13"/>
    <col customWidth="1" min="3" max="3" style="122" width="7.8600000000000003"/>
    <col customWidth="1" min="4" max="4" style="122" width="9.1400000000000006"/>
    <col customWidth="1" min="5" max="5" style="122" width="9.2899999999999991"/>
    <col customWidth="1" min="6" max="6" style="122" width="8.2899999999999991"/>
    <col customWidth="1" min="7" max="7" style="122" width="8"/>
    <col customWidth="1" min="8" max="8" style="122" width="8.7100000000000009"/>
    <col customWidth="1" min="9" max="9" style="122" width="11.289999999999999"/>
    <col customWidth="1" min="10" max="10" style="122" width="8.7100000000000009"/>
    <col customWidth="1" min="11" max="11" style="122" width="10.57"/>
    <col customWidth="1" min="12" max="12" style="122" width="8.7100000000000009"/>
    <col customWidth="1" min="13" max="13" style="122" width="15.710000000000001"/>
    <col customWidth="1" min="14" max="14" style="122" width="11.710000000000001"/>
    <col customWidth="0" min="15" max="16384" style="122" width="8.8599999999999994"/>
  </cols>
  <sheetData>
    <row r="1" ht="15" customHeight="1">
      <c r="A1" s="124"/>
      <c r="B1" s="125"/>
      <c r="C1" s="126" t="s">
        <v>47</v>
      </c>
      <c r="D1" s="127"/>
      <c r="E1" s="125"/>
      <c r="F1" s="128" t="str">
        <f>'Time Sheet'!F3:J3</f>
        <v xml:space="preserve">Complete Control Solutions, Inc.</v>
      </c>
      <c r="G1" s="128"/>
      <c r="H1" s="128"/>
      <c r="I1" s="128"/>
      <c r="J1" s="129"/>
      <c r="K1" s="125"/>
      <c r="L1" s="130" t="s">
        <v>48</v>
      </c>
      <c r="M1" s="125"/>
      <c r="N1" s="131"/>
    </row>
    <row r="2" ht="15" customHeight="1">
      <c r="A2" s="132"/>
      <c r="B2" s="133"/>
      <c r="C2" s="133" t="s">
        <v>49</v>
      </c>
      <c r="D2" s="133"/>
      <c r="E2" s="133"/>
      <c r="F2" s="134" t="str">
        <f>'Time Sheet'!F4:J4</f>
        <v xml:space="preserve">3701 E. Evergreen Dr. Suite 400</v>
      </c>
      <c r="G2" s="134"/>
      <c r="H2" s="134"/>
      <c r="I2" s="134"/>
      <c r="J2" s="135"/>
      <c r="K2" s="133"/>
      <c r="N2" s="136"/>
    </row>
    <row r="3" ht="15" customHeight="1">
      <c r="A3" s="137"/>
      <c r="B3" s="133"/>
      <c r="C3" s="133" t="s">
        <v>50</v>
      </c>
      <c r="D3" s="133"/>
      <c r="E3" s="133"/>
      <c r="F3" s="138" t="str">
        <f>'Time Sheet'!F5:J5</f>
        <v xml:space="preserve">Appleton, WI 54913</v>
      </c>
      <c r="G3" s="138"/>
      <c r="H3" s="138"/>
      <c r="I3" s="138"/>
      <c r="J3" s="139"/>
      <c r="K3" s="133"/>
      <c r="L3" s="140" t="s">
        <v>2</v>
      </c>
      <c r="M3" s="141" t="str">
        <f>'Time Sheet'!M3</f>
        <v xml:space="preserve">CHRISTOPHER PANICI</v>
      </c>
      <c r="N3" s="136"/>
    </row>
    <row r="4" ht="15" customHeight="1">
      <c r="A4" s="137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41" t="str">
        <f>'Time Sheet'!M4</f>
        <v xml:space="preserve">W5531 AMY AVE</v>
      </c>
      <c r="N4" s="136"/>
    </row>
    <row r="5" ht="15" customHeight="1">
      <c r="A5" s="142"/>
      <c r="B5" s="143"/>
      <c r="C5" s="143"/>
      <c r="D5" s="133"/>
      <c r="E5" s="144"/>
      <c r="F5" s="145">
        <f>'Time Sheet'!F7:H7</f>
        <v>46026</v>
      </c>
      <c r="G5" s="145"/>
      <c r="H5" s="146" t="s">
        <v>51</v>
      </c>
      <c r="I5" s="147">
        <f>F5+6</f>
        <v>46032</v>
      </c>
      <c r="J5" s="147"/>
      <c r="K5" s="148"/>
      <c r="L5" s="133"/>
      <c r="M5" s="149" t="str">
        <f>'Time Sheet'!M5</f>
        <v xml:space="preserve">APPLETON, WI 54915</v>
      </c>
      <c r="N5" s="136"/>
    </row>
    <row r="6" ht="15" customHeight="1">
      <c r="A6" s="150"/>
      <c r="B6" s="151"/>
      <c r="C6" s="151"/>
      <c r="D6" s="152"/>
      <c r="E6" s="152"/>
      <c r="F6" s="152"/>
      <c r="G6" s="152"/>
      <c r="H6" s="152"/>
      <c r="I6" s="151"/>
      <c r="J6" s="151"/>
      <c r="K6" s="152"/>
      <c r="L6" s="152"/>
      <c r="M6" s="153" t="str">
        <f>'Time Sheet'!M6</f>
        <v/>
      </c>
      <c r="N6" s="154"/>
    </row>
    <row r="7" s="123" customFormat="1" ht="12.75" customHeight="1">
      <c r="A7" s="155"/>
      <c r="B7" s="156"/>
      <c r="C7" s="156"/>
      <c r="D7" s="156"/>
      <c r="E7" s="156" t="s">
        <v>52</v>
      </c>
      <c r="F7" s="156" t="s">
        <v>53</v>
      </c>
      <c r="G7" s="157"/>
      <c r="H7" s="156" t="s">
        <v>54</v>
      </c>
      <c r="I7" s="156" t="s">
        <v>55</v>
      </c>
      <c r="J7" s="156" t="s">
        <v>56</v>
      </c>
      <c r="K7" s="157" t="s">
        <v>57</v>
      </c>
      <c r="L7" s="156" t="s">
        <v>58</v>
      </c>
      <c r="M7" s="156"/>
      <c r="N7" s="158" t="s">
        <v>59</v>
      </c>
    </row>
    <row r="8" s="123" customFormat="1" ht="12.75" customHeight="1">
      <c r="A8" s="159" t="s">
        <v>30</v>
      </c>
      <c r="B8" s="160" t="s">
        <v>60</v>
      </c>
      <c r="C8" s="160" t="s">
        <v>61</v>
      </c>
      <c r="D8" s="160" t="s">
        <v>62</v>
      </c>
      <c r="E8" s="160" t="s">
        <v>63</v>
      </c>
      <c r="F8" s="160" t="s">
        <v>64</v>
      </c>
      <c r="G8" s="160" t="s">
        <v>65</v>
      </c>
      <c r="H8" s="160" t="s">
        <v>66</v>
      </c>
      <c r="I8" s="160" t="s">
        <v>67</v>
      </c>
      <c r="J8" s="160" t="s">
        <v>68</v>
      </c>
      <c r="K8" s="160" t="s">
        <v>69</v>
      </c>
      <c r="L8" s="160" t="s">
        <v>70</v>
      </c>
      <c r="M8" s="160"/>
      <c r="N8" s="161" t="s">
        <v>71</v>
      </c>
    </row>
    <row r="9" s="162" customFormat="1" ht="21.75" customHeight="1">
      <c r="A9" s="163" t="str">
        <f>'Time Sheet'!A21</f>
        <v>Sunday</v>
      </c>
      <c r="B9" s="164" t="str">
        <f>IF('Time Sheet'!B20&lt;&gt;0, 'Time Sheet'!B20,"")</f>
        <v/>
      </c>
      <c r="C9" s="164"/>
      <c r="D9" s="165">
        <f>C9*0.7</f>
        <v>0</v>
      </c>
      <c r="E9" s="166"/>
      <c r="F9" s="166"/>
      <c r="G9" s="166"/>
      <c r="H9" s="166"/>
      <c r="I9" s="166"/>
      <c r="J9" s="166"/>
      <c r="K9" s="166"/>
      <c r="L9" s="167"/>
      <c r="M9" s="167"/>
      <c r="N9" s="168">
        <f>SUM(D9:K9)</f>
        <v>0</v>
      </c>
    </row>
    <row r="10" ht="21.75" customHeight="1">
      <c r="A10" s="169">
        <f>F5</f>
        <v>46026</v>
      </c>
      <c r="B10" s="164" t="str">
        <f>IF('Time Sheet'!B21&lt;&gt;0,'Time Sheet'!B21,"")</f>
        <v/>
      </c>
      <c r="C10" s="170"/>
      <c r="D10" s="165">
        <f t="shared" ref="D10:D43" si="0">C10*0.7</f>
        <v>0</v>
      </c>
      <c r="E10" s="166"/>
      <c r="F10" s="166"/>
      <c r="G10" s="166"/>
      <c r="H10" s="166"/>
      <c r="I10" s="166"/>
      <c r="J10" s="166"/>
      <c r="K10" s="166"/>
      <c r="L10" s="167"/>
      <c r="M10" s="167"/>
      <c r="N10" s="168">
        <f t="shared" ref="N10:N43" si="1">SUM(D10:K10)</f>
        <v>0</v>
      </c>
    </row>
    <row r="11" ht="21.75" customHeight="1">
      <c r="A11" s="169"/>
      <c r="B11" s="164" t="str">
        <f>IF('Time Sheet'!B22&lt;&gt;0,'Time Sheet'!B22,"")</f>
        <v/>
      </c>
      <c r="C11" s="170"/>
      <c r="D11" s="165">
        <f t="shared" si="0"/>
        <v>0</v>
      </c>
      <c r="E11" s="166"/>
      <c r="F11" s="166"/>
      <c r="G11" s="166"/>
      <c r="H11" s="166"/>
      <c r="I11" s="166"/>
      <c r="J11" s="166"/>
      <c r="K11" s="166"/>
      <c r="L11" s="167"/>
      <c r="M11" s="167"/>
      <c r="N11" s="168">
        <f t="shared" si="1"/>
        <v>0</v>
      </c>
    </row>
    <row r="12" ht="21.75" customHeight="1">
      <c r="A12" s="169"/>
      <c r="B12" s="164" t="str">
        <f>IF('Time Sheet'!B23&lt;&gt;0,'Time Sheet'!B23,"")</f>
        <v/>
      </c>
      <c r="C12" s="170"/>
      <c r="D12" s="165">
        <f t="shared" si="0"/>
        <v>0</v>
      </c>
      <c r="E12" s="166"/>
      <c r="F12" s="166"/>
      <c r="G12" s="166"/>
      <c r="H12" s="166"/>
      <c r="I12" s="166"/>
      <c r="J12" s="166"/>
      <c r="K12" s="166"/>
      <c r="L12" s="167"/>
      <c r="M12" s="167"/>
      <c r="N12" s="168">
        <f t="shared" si="1"/>
        <v>0</v>
      </c>
    </row>
    <row r="13" ht="21.75" customHeight="1">
      <c r="A13" s="169"/>
      <c r="B13" s="164" t="str">
        <f>IF('Time Sheet'!B24&lt;&gt;0,'Time Sheet'!B24,"")</f>
        <v/>
      </c>
      <c r="C13" s="170"/>
      <c r="D13" s="165">
        <f t="shared" si="0"/>
        <v>0</v>
      </c>
      <c r="E13" s="166"/>
      <c r="F13" s="166"/>
      <c r="G13" s="166"/>
      <c r="H13" s="166"/>
      <c r="I13" s="166"/>
      <c r="J13" s="166"/>
      <c r="K13" s="166"/>
      <c r="L13" s="167"/>
      <c r="M13" s="167"/>
      <c r="N13" s="168">
        <f t="shared" si="1"/>
        <v>0</v>
      </c>
    </row>
    <row r="14" ht="21.75" customHeight="1">
      <c r="A14" s="163" t="str">
        <f>'Time Sheet'!A26</f>
        <v>Monday</v>
      </c>
      <c r="B14" s="164" t="str">
        <f>IF('Time Sheet'!B25&lt;&gt;0,'Time Sheet'!B25,"")</f>
        <v/>
      </c>
      <c r="C14" s="170"/>
      <c r="D14" s="165">
        <f t="shared" si="0"/>
        <v>0</v>
      </c>
      <c r="E14" s="166"/>
      <c r="F14" s="166"/>
      <c r="G14" s="166"/>
      <c r="H14" s="166"/>
      <c r="I14" s="166"/>
      <c r="J14" s="166"/>
      <c r="K14" s="166"/>
      <c r="L14" s="167"/>
      <c r="M14" s="167"/>
      <c r="N14" s="168">
        <f t="shared" si="1"/>
        <v>0</v>
      </c>
    </row>
    <row r="15" ht="21.75" customHeight="1">
      <c r="A15" s="169">
        <f>A10+1</f>
        <v>46027</v>
      </c>
      <c r="B15" s="164" t="str">
        <f>IF('Time Sheet'!B26&lt;&gt;0,'Time Sheet'!B26,"")</f>
        <v/>
      </c>
      <c r="C15" s="170"/>
      <c r="D15" s="165">
        <f t="shared" si="0"/>
        <v>0</v>
      </c>
      <c r="E15" s="166"/>
      <c r="F15" s="166"/>
      <c r="G15" s="166"/>
      <c r="H15" s="166"/>
      <c r="I15" s="166"/>
      <c r="J15" s="166"/>
      <c r="K15" s="166"/>
      <c r="L15" s="167"/>
      <c r="M15" s="167"/>
      <c r="N15" s="168">
        <f t="shared" si="1"/>
        <v>0</v>
      </c>
    </row>
    <row r="16" ht="21.75" customHeight="1">
      <c r="A16" s="169"/>
      <c r="B16" s="164" t="str">
        <f>IF('Time Sheet'!B27&lt;&gt;0,'Time Sheet'!B27,"")</f>
        <v/>
      </c>
      <c r="C16" s="170"/>
      <c r="D16" s="165">
        <f t="shared" si="0"/>
        <v>0</v>
      </c>
      <c r="E16" s="166"/>
      <c r="F16" s="166"/>
      <c r="G16" s="166"/>
      <c r="H16" s="166"/>
      <c r="I16" s="166"/>
      <c r="J16" s="166"/>
      <c r="K16" s="166"/>
      <c r="L16" s="167"/>
      <c r="M16" s="167"/>
      <c r="N16" s="168">
        <f t="shared" si="1"/>
        <v>0</v>
      </c>
    </row>
    <row r="17" ht="21.75" customHeight="1">
      <c r="A17" s="169"/>
      <c r="B17" s="164" t="str">
        <f>IF('Time Sheet'!B28&lt;&gt;0,'Time Sheet'!B28,"")</f>
        <v/>
      </c>
      <c r="C17" s="170"/>
      <c r="D17" s="165">
        <f t="shared" si="0"/>
        <v>0</v>
      </c>
      <c r="E17" s="166"/>
      <c r="F17" s="166"/>
      <c r="G17" s="166"/>
      <c r="H17" s="166"/>
      <c r="I17" s="166"/>
      <c r="J17" s="166"/>
      <c r="K17" s="166"/>
      <c r="L17" s="167"/>
      <c r="M17" s="167"/>
      <c r="N17" s="168">
        <f t="shared" si="1"/>
        <v>0</v>
      </c>
    </row>
    <row r="18" ht="21.75" customHeight="1">
      <c r="A18" s="169"/>
      <c r="B18" s="164" t="str">
        <f>IF('Time Sheet'!B29&lt;&gt;0,'Time Sheet'!B29,"")</f>
        <v/>
      </c>
      <c r="C18" s="170"/>
      <c r="D18" s="165">
        <f t="shared" si="0"/>
        <v>0</v>
      </c>
      <c r="E18" s="166"/>
      <c r="F18" s="166"/>
      <c r="G18" s="166"/>
      <c r="H18" s="166"/>
      <c r="I18" s="166"/>
      <c r="J18" s="166"/>
      <c r="K18" s="166"/>
      <c r="L18" s="167"/>
      <c r="M18" s="167"/>
      <c r="N18" s="168">
        <f t="shared" si="1"/>
        <v>0</v>
      </c>
    </row>
    <row r="19" ht="21.75" customHeight="1">
      <c r="A19" s="163" t="str">
        <f>'Time Sheet'!A31</f>
        <v>Tuesday</v>
      </c>
      <c r="B19" s="164" t="str">
        <f>IF('Time Sheet'!B30&lt;&gt;0,'Time Sheet'!B30,"")</f>
        <v/>
      </c>
      <c r="C19" s="170"/>
      <c r="D19" s="165">
        <f t="shared" si="0"/>
        <v>0</v>
      </c>
      <c r="E19" s="166"/>
      <c r="F19" s="166"/>
      <c r="G19" s="166"/>
      <c r="H19" s="166"/>
      <c r="I19" s="166"/>
      <c r="J19" s="166"/>
      <c r="K19" s="166"/>
      <c r="L19" s="167"/>
      <c r="M19" s="167"/>
      <c r="N19" s="168">
        <f t="shared" si="1"/>
        <v>0</v>
      </c>
    </row>
    <row r="20" ht="21.75" customHeight="1">
      <c r="A20" s="169">
        <f>A15+1</f>
        <v>46028</v>
      </c>
      <c r="B20" s="164" t="str">
        <f>IF('Time Sheet'!B31&lt;&gt;0,'Time Sheet'!B31,"")</f>
        <v/>
      </c>
      <c r="C20" s="170"/>
      <c r="D20" s="165">
        <f t="shared" si="0"/>
        <v>0</v>
      </c>
      <c r="E20" s="166"/>
      <c r="F20" s="166"/>
      <c r="G20" s="166"/>
      <c r="H20" s="166"/>
      <c r="I20" s="166"/>
      <c r="J20" s="166"/>
      <c r="K20" s="166"/>
      <c r="L20" s="167"/>
      <c r="M20" s="167"/>
      <c r="N20" s="168">
        <f t="shared" si="1"/>
        <v>0</v>
      </c>
    </row>
    <row r="21" ht="21.75" customHeight="1">
      <c r="A21" s="169"/>
      <c r="B21" s="164" t="str">
        <f>IF('Time Sheet'!B32&lt;&gt;0,'Time Sheet'!B32,"")</f>
        <v/>
      </c>
      <c r="C21" s="170"/>
      <c r="D21" s="165">
        <f t="shared" si="0"/>
        <v>0</v>
      </c>
      <c r="E21" s="166"/>
      <c r="F21" s="166"/>
      <c r="G21" s="166"/>
      <c r="H21" s="166"/>
      <c r="I21" s="166"/>
      <c r="J21" s="166"/>
      <c r="K21" s="166"/>
      <c r="L21" s="167"/>
      <c r="M21" s="167"/>
      <c r="N21" s="168">
        <f t="shared" si="1"/>
        <v>0</v>
      </c>
    </row>
    <row r="22" ht="21.75" customHeight="1">
      <c r="A22" s="169"/>
      <c r="B22" s="164" t="str">
        <f>IF('Time Sheet'!B33&lt;&gt;0,'Time Sheet'!B33,"")</f>
        <v/>
      </c>
      <c r="C22" s="170"/>
      <c r="D22" s="165">
        <f t="shared" si="0"/>
        <v>0</v>
      </c>
      <c r="E22" s="166"/>
      <c r="F22" s="166"/>
      <c r="G22" s="166"/>
      <c r="H22" s="166"/>
      <c r="I22" s="166"/>
      <c r="J22" s="166"/>
      <c r="K22" s="166"/>
      <c r="L22" s="167"/>
      <c r="M22" s="167"/>
      <c r="N22" s="168">
        <f t="shared" si="1"/>
        <v>0</v>
      </c>
    </row>
    <row r="23" ht="21.75" customHeight="1">
      <c r="A23" s="169"/>
      <c r="B23" s="164" t="str">
        <f>IF('Time Sheet'!B34&lt;&gt;0,'Time Sheet'!B34,"")</f>
        <v/>
      </c>
      <c r="C23" s="170"/>
      <c r="D23" s="165">
        <f t="shared" si="0"/>
        <v>0</v>
      </c>
      <c r="E23" s="166"/>
      <c r="F23" s="166"/>
      <c r="G23" s="166"/>
      <c r="H23" s="166"/>
      <c r="I23" s="166"/>
      <c r="J23" s="166"/>
      <c r="K23" s="166"/>
      <c r="L23" s="167"/>
      <c r="M23" s="167"/>
      <c r="N23" s="168">
        <f t="shared" si="1"/>
        <v>0</v>
      </c>
    </row>
    <row r="24" ht="21.75" customHeight="1">
      <c r="A24" s="163" t="str">
        <f>'Time Sheet'!A36</f>
        <v>Wednesday</v>
      </c>
      <c r="B24" s="164" t="str">
        <f>IF('Time Sheet'!B35&lt;&gt;0,'Time Sheet'!B35,"")</f>
        <v/>
      </c>
      <c r="C24" s="170"/>
      <c r="D24" s="165">
        <f t="shared" si="0"/>
        <v>0</v>
      </c>
      <c r="E24" s="166"/>
      <c r="F24" s="166"/>
      <c r="G24" s="166"/>
      <c r="H24" s="166"/>
      <c r="I24" s="166"/>
      <c r="J24" s="166"/>
      <c r="K24" s="166"/>
      <c r="L24" s="167"/>
      <c r="M24" s="167"/>
      <c r="N24" s="168">
        <f t="shared" si="1"/>
        <v>0</v>
      </c>
    </row>
    <row r="25" ht="21.75" customHeight="1">
      <c r="A25" s="169">
        <f>A20+1</f>
        <v>46029</v>
      </c>
      <c r="B25" s="164" t="str">
        <f>IF('Time Sheet'!B36&lt;&gt;0,'Time Sheet'!B36,"")</f>
        <v/>
      </c>
      <c r="C25" s="170"/>
      <c r="D25" s="165">
        <f t="shared" si="0"/>
        <v>0</v>
      </c>
      <c r="E25" s="166"/>
      <c r="F25" s="166"/>
      <c r="G25" s="166"/>
      <c r="H25" s="166"/>
      <c r="I25" s="166"/>
      <c r="J25" s="166"/>
      <c r="K25" s="166"/>
      <c r="L25" s="167"/>
      <c r="M25" s="167"/>
      <c r="N25" s="168">
        <f t="shared" si="1"/>
        <v>0</v>
      </c>
    </row>
    <row r="26" ht="21.75" customHeight="1">
      <c r="A26" s="169"/>
      <c r="B26" s="164" t="str">
        <f>IF('Time Sheet'!B37&lt;&gt;0,'Time Sheet'!B37,"")</f>
        <v/>
      </c>
      <c r="C26" s="170"/>
      <c r="D26" s="165">
        <f t="shared" si="0"/>
        <v>0</v>
      </c>
      <c r="E26" s="166"/>
      <c r="F26" s="166"/>
      <c r="G26" s="166"/>
      <c r="H26" s="166"/>
      <c r="I26" s="166"/>
      <c r="J26" s="166"/>
      <c r="K26" s="166"/>
      <c r="L26" s="167"/>
      <c r="M26" s="167"/>
      <c r="N26" s="168">
        <f t="shared" si="1"/>
        <v>0</v>
      </c>
    </row>
    <row r="27" ht="21.75" customHeight="1">
      <c r="A27" s="169"/>
      <c r="B27" s="164" t="str">
        <f>IF('Time Sheet'!B38&lt;&gt;0,'Time Sheet'!B38,"")</f>
        <v/>
      </c>
      <c r="C27" s="170"/>
      <c r="D27" s="165">
        <f t="shared" si="0"/>
        <v>0</v>
      </c>
      <c r="E27" s="166"/>
      <c r="F27" s="166"/>
      <c r="G27" s="166"/>
      <c r="H27" s="166"/>
      <c r="I27" s="166"/>
      <c r="J27" s="166"/>
      <c r="K27" s="166"/>
      <c r="L27" s="167"/>
      <c r="M27" s="167"/>
      <c r="N27" s="168">
        <f t="shared" si="1"/>
        <v>0</v>
      </c>
    </row>
    <row r="28" ht="21.75" customHeight="1">
      <c r="A28" s="169"/>
      <c r="B28" s="164" t="str">
        <f>IF('Time Sheet'!B39&lt;&gt;0,'Time Sheet'!B39,"")</f>
        <v/>
      </c>
      <c r="C28" s="170"/>
      <c r="D28" s="165">
        <f t="shared" si="0"/>
        <v>0</v>
      </c>
      <c r="E28" s="166"/>
      <c r="F28" s="166"/>
      <c r="G28" s="166"/>
      <c r="H28" s="166"/>
      <c r="I28" s="166"/>
      <c r="J28" s="166"/>
      <c r="K28" s="166"/>
      <c r="L28" s="167"/>
      <c r="M28" s="167"/>
      <c r="N28" s="168">
        <f t="shared" si="1"/>
        <v>0</v>
      </c>
    </row>
    <row r="29" ht="21.75" customHeight="1">
      <c r="A29" s="171" t="str">
        <f>'Time Sheet'!A41</f>
        <v>Thursday</v>
      </c>
      <c r="B29" s="164" t="str">
        <f>IF('Time Sheet'!B40&lt;&gt;0,'Time Sheet'!B40,"")</f>
        <v/>
      </c>
      <c r="C29" s="170"/>
      <c r="D29" s="165">
        <f t="shared" si="0"/>
        <v>0</v>
      </c>
      <c r="E29" s="166"/>
      <c r="F29" s="166"/>
      <c r="G29" s="166"/>
      <c r="H29" s="166"/>
      <c r="I29" s="166"/>
      <c r="J29" s="166"/>
      <c r="K29" s="166"/>
      <c r="L29" s="167"/>
      <c r="M29" s="167"/>
      <c r="N29" s="168">
        <f t="shared" si="1"/>
        <v>0</v>
      </c>
    </row>
    <row r="30" ht="21.75" customHeight="1">
      <c r="A30" s="169">
        <f>A25+1</f>
        <v>46030</v>
      </c>
      <c r="B30" s="164" t="str">
        <f>IF('Time Sheet'!B41&lt;&gt;0,'Time Sheet'!B41,"")</f>
        <v/>
      </c>
      <c r="C30" s="170"/>
      <c r="D30" s="165">
        <f t="shared" si="0"/>
        <v>0</v>
      </c>
      <c r="E30" s="166"/>
      <c r="F30" s="166"/>
      <c r="G30" s="166"/>
      <c r="H30" s="166"/>
      <c r="I30" s="166"/>
      <c r="J30" s="166"/>
      <c r="K30" s="166"/>
      <c r="L30" s="167"/>
      <c r="M30" s="167"/>
      <c r="N30" s="168">
        <f t="shared" si="1"/>
        <v>0</v>
      </c>
    </row>
    <row r="31" ht="21.75" customHeight="1">
      <c r="A31" s="169"/>
      <c r="B31" s="164" t="str">
        <f>IF('Time Sheet'!B42&lt;&gt;0,'Time Sheet'!B42,"")</f>
        <v/>
      </c>
      <c r="C31" s="170"/>
      <c r="D31" s="165">
        <f t="shared" si="0"/>
        <v>0</v>
      </c>
      <c r="E31" s="166"/>
      <c r="F31" s="166"/>
      <c r="G31" s="166"/>
      <c r="H31" s="166"/>
      <c r="I31" s="166"/>
      <c r="J31" s="166"/>
      <c r="K31" s="166"/>
      <c r="L31" s="167"/>
      <c r="M31" s="167"/>
      <c r="N31" s="168">
        <f t="shared" si="1"/>
        <v>0</v>
      </c>
    </row>
    <row r="32" ht="21.75" customHeight="1">
      <c r="A32" s="169"/>
      <c r="B32" s="164" t="str">
        <f>IF('Time Sheet'!B43&lt;&gt;0,'Time Sheet'!B43,"")</f>
        <v/>
      </c>
      <c r="C32" s="170"/>
      <c r="D32" s="165">
        <f t="shared" si="0"/>
        <v>0</v>
      </c>
      <c r="E32" s="166"/>
      <c r="F32" s="166"/>
      <c r="G32" s="166"/>
      <c r="H32" s="166"/>
      <c r="I32" s="166"/>
      <c r="J32" s="166"/>
      <c r="K32" s="166"/>
      <c r="L32" s="167"/>
      <c r="M32" s="167"/>
      <c r="N32" s="168">
        <f t="shared" si="1"/>
        <v>0</v>
      </c>
    </row>
    <row r="33" ht="21.75" customHeight="1">
      <c r="A33" s="169"/>
      <c r="B33" s="164" t="str">
        <f>IF('Time Sheet'!B44&lt;&gt;0,'Time Sheet'!B44,"")</f>
        <v/>
      </c>
      <c r="C33" s="170"/>
      <c r="D33" s="165">
        <f t="shared" si="0"/>
        <v>0</v>
      </c>
      <c r="E33" s="166"/>
      <c r="F33" s="166"/>
      <c r="G33" s="166"/>
      <c r="H33" s="166"/>
      <c r="I33" s="166"/>
      <c r="J33" s="166"/>
      <c r="K33" s="166"/>
      <c r="L33" s="167"/>
      <c r="M33" s="167"/>
      <c r="N33" s="168">
        <f t="shared" si="1"/>
        <v>0</v>
      </c>
    </row>
    <row r="34" ht="21.75" customHeight="1">
      <c r="A34" s="163" t="str">
        <f>'Time Sheet'!A46</f>
        <v>Friday</v>
      </c>
      <c r="B34" s="164" t="str">
        <f>IF('Time Sheet'!B45&lt;&gt;0,'Time Sheet'!B45,"")</f>
        <v/>
      </c>
      <c r="C34" s="170"/>
      <c r="D34" s="165">
        <f t="shared" si="0"/>
        <v>0</v>
      </c>
      <c r="E34" s="166"/>
      <c r="F34" s="166"/>
      <c r="G34" s="166"/>
      <c r="H34" s="166"/>
      <c r="I34" s="166"/>
      <c r="J34" s="166"/>
      <c r="K34" s="166"/>
      <c r="L34" s="167"/>
      <c r="M34" s="167"/>
      <c r="N34" s="168">
        <f t="shared" si="1"/>
        <v>0</v>
      </c>
    </row>
    <row r="35" ht="21.75" customHeight="1">
      <c r="A35" s="169">
        <f>A30+1</f>
        <v>46031</v>
      </c>
      <c r="B35" s="164" t="str">
        <f>IF('Time Sheet'!B46&lt;&gt;0,'Time Sheet'!B46,"")</f>
        <v/>
      </c>
      <c r="C35" s="170"/>
      <c r="D35" s="165">
        <f t="shared" si="0"/>
        <v>0</v>
      </c>
      <c r="E35" s="166"/>
      <c r="F35" s="166"/>
      <c r="G35" s="166"/>
      <c r="H35" s="166"/>
      <c r="I35" s="166"/>
      <c r="J35" s="166"/>
      <c r="K35" s="166"/>
      <c r="L35" s="167"/>
      <c r="M35" s="167"/>
      <c r="N35" s="168">
        <f t="shared" si="1"/>
        <v>0</v>
      </c>
    </row>
    <row r="36" ht="21.75" customHeight="1">
      <c r="A36" s="169"/>
      <c r="B36" s="164" t="str">
        <f>IF('Time Sheet'!B47&lt;&gt;0,'Time Sheet'!B47,"")</f>
        <v/>
      </c>
      <c r="C36" s="170"/>
      <c r="D36" s="165">
        <f t="shared" si="0"/>
        <v>0</v>
      </c>
      <c r="E36" s="166"/>
      <c r="F36" s="166"/>
      <c r="G36" s="166"/>
      <c r="H36" s="166"/>
      <c r="I36" s="166"/>
      <c r="J36" s="166"/>
      <c r="K36" s="166"/>
      <c r="L36" s="167"/>
      <c r="M36" s="167"/>
      <c r="N36" s="168">
        <f t="shared" si="1"/>
        <v>0</v>
      </c>
    </row>
    <row r="37" ht="21.75" customHeight="1">
      <c r="A37" s="169"/>
      <c r="B37" s="164" t="str">
        <f>IF('Time Sheet'!B48&lt;&gt;0,'Time Sheet'!B48,"")</f>
        <v/>
      </c>
      <c r="C37" s="170"/>
      <c r="D37" s="165">
        <f t="shared" si="0"/>
        <v>0</v>
      </c>
      <c r="E37" s="166"/>
      <c r="F37" s="166"/>
      <c r="G37" s="166"/>
      <c r="H37" s="166"/>
      <c r="I37" s="166"/>
      <c r="J37" s="166"/>
      <c r="K37" s="166"/>
      <c r="L37" s="167"/>
      <c r="M37" s="167"/>
      <c r="N37" s="168">
        <f t="shared" si="1"/>
        <v>0</v>
      </c>
    </row>
    <row r="38" ht="21.75" customHeight="1">
      <c r="A38" s="169"/>
      <c r="B38" s="164" t="str">
        <f>IF('Time Sheet'!B49&lt;&gt;0,'Time Sheet'!B49,"")</f>
        <v/>
      </c>
      <c r="C38" s="170"/>
      <c r="D38" s="165">
        <f t="shared" si="0"/>
        <v>0</v>
      </c>
      <c r="E38" s="166"/>
      <c r="F38" s="166"/>
      <c r="G38" s="166"/>
      <c r="H38" s="166"/>
      <c r="I38" s="166"/>
      <c r="J38" s="166"/>
      <c r="K38" s="166"/>
      <c r="L38" s="167"/>
      <c r="M38" s="167"/>
      <c r="N38" s="168">
        <f t="shared" si="1"/>
        <v>0</v>
      </c>
    </row>
    <row r="39" ht="21.75" customHeight="1">
      <c r="A39" s="163" t="str">
        <f>'Time Sheet'!A51</f>
        <v>Saturday</v>
      </c>
      <c r="B39" s="164" t="str">
        <f>IF('Time Sheet'!B50&lt;&gt;0,'Time Sheet'!B50,"")</f>
        <v/>
      </c>
      <c r="C39" s="170"/>
      <c r="D39" s="165">
        <f t="shared" si="0"/>
        <v>0</v>
      </c>
      <c r="E39" s="166"/>
      <c r="F39" s="166"/>
      <c r="G39" s="166"/>
      <c r="H39" s="166"/>
      <c r="I39" s="166"/>
      <c r="J39" s="166"/>
      <c r="K39" s="166"/>
      <c r="L39" s="167"/>
      <c r="M39" s="167"/>
      <c r="N39" s="168">
        <f t="shared" si="1"/>
        <v>0</v>
      </c>
    </row>
    <row r="40" ht="21.75" customHeight="1">
      <c r="A40" s="169">
        <f>A35+1</f>
        <v>46032</v>
      </c>
      <c r="B40" s="164" t="str">
        <f>IF('Time Sheet'!B51&lt;&gt;0,'Time Sheet'!B51,"")</f>
        <v/>
      </c>
      <c r="C40" s="170"/>
      <c r="D40" s="165">
        <f t="shared" si="0"/>
        <v>0</v>
      </c>
      <c r="E40" s="166"/>
      <c r="F40" s="166"/>
      <c r="G40" s="166"/>
      <c r="H40" s="166"/>
      <c r="I40" s="166"/>
      <c r="J40" s="166"/>
      <c r="K40" s="166"/>
      <c r="L40" s="167"/>
      <c r="M40" s="167"/>
      <c r="N40" s="168">
        <f t="shared" si="1"/>
        <v>0</v>
      </c>
    </row>
    <row r="41" ht="21.75" customHeight="1">
      <c r="A41" s="169"/>
      <c r="B41" s="164" t="str">
        <f>IF('Time Sheet'!B52&lt;&gt;0,'Time Sheet'!B52,"")</f>
        <v/>
      </c>
      <c r="C41" s="170"/>
      <c r="D41" s="165">
        <f t="shared" si="0"/>
        <v>0</v>
      </c>
      <c r="E41" s="166"/>
      <c r="F41" s="166"/>
      <c r="G41" s="166"/>
      <c r="H41" s="166"/>
      <c r="I41" s="166"/>
      <c r="J41" s="166"/>
      <c r="K41" s="166"/>
      <c r="L41" s="167"/>
      <c r="M41" s="167"/>
      <c r="N41" s="168">
        <f t="shared" si="1"/>
        <v>0</v>
      </c>
    </row>
    <row r="42" ht="21.75" customHeight="1">
      <c r="A42" s="169"/>
      <c r="B42" s="164" t="str">
        <f>IF('Time Sheet'!B53&lt;&gt;0,'Time Sheet'!B53,"")</f>
        <v/>
      </c>
      <c r="C42" s="170"/>
      <c r="D42" s="165">
        <f t="shared" si="0"/>
        <v>0</v>
      </c>
      <c r="E42" s="166"/>
      <c r="F42" s="166"/>
      <c r="G42" s="166"/>
      <c r="H42" s="166"/>
      <c r="I42" s="166"/>
      <c r="J42" s="166"/>
      <c r="K42" s="166"/>
      <c r="L42" s="167"/>
      <c r="M42" s="167"/>
      <c r="N42" s="168">
        <f t="shared" si="1"/>
        <v>0</v>
      </c>
    </row>
    <row r="43" ht="21.75" customHeight="1">
      <c r="A43" s="169"/>
      <c r="B43" s="164" t="str">
        <f>IF('Time Sheet'!B54&lt;&gt;0,'Time Sheet'!B54,"")</f>
        <v/>
      </c>
      <c r="C43" s="170"/>
      <c r="D43" s="165">
        <f t="shared" si="0"/>
        <v>0</v>
      </c>
      <c r="E43" s="166"/>
      <c r="F43" s="166"/>
      <c r="G43" s="166"/>
      <c r="H43" s="166"/>
      <c r="I43" s="166"/>
      <c r="J43" s="166"/>
      <c r="K43" s="166"/>
      <c r="L43" s="167"/>
      <c r="M43" s="167"/>
      <c r="N43" s="168">
        <f t="shared" si="1"/>
        <v>0</v>
      </c>
    </row>
    <row r="44" ht="21.75" customHeight="1">
      <c r="A44" s="172" t="s">
        <v>72</v>
      </c>
      <c r="B44" s="164"/>
      <c r="C44" s="170">
        <f>SUM(C9:C43)</f>
        <v>0</v>
      </c>
      <c r="D44" s="165"/>
      <c r="E44" s="166">
        <f>SUM(E9:E43)</f>
        <v>0</v>
      </c>
      <c r="F44" s="166">
        <f>SUM(F9:F43)</f>
        <v>0</v>
      </c>
      <c r="G44" s="166">
        <f>SUM(G9:G43)</f>
        <v>0</v>
      </c>
      <c r="H44" s="166">
        <f>SUM(H9:H43)</f>
        <v>0</v>
      </c>
      <c r="I44" s="166">
        <f>SUM(I9:I43)</f>
        <v>0</v>
      </c>
      <c r="J44" s="166">
        <f>SUM(J9:J43)</f>
        <v>0</v>
      </c>
      <c r="K44" s="166">
        <f>SUM(K9:K43)</f>
        <v>0</v>
      </c>
      <c r="L44" s="167"/>
      <c r="M44" s="167"/>
      <c r="N44" s="168"/>
    </row>
    <row r="45" ht="25.5" customHeight="1">
      <c r="A45" s="173" t="s">
        <v>73</v>
      </c>
      <c r="B45" s="173"/>
      <c r="C45" s="174" t="str">
        <f>'Time Sheet'!M3</f>
        <v xml:space="preserve">CHRISTOPHER PANICI</v>
      </c>
      <c r="D45" s="175"/>
      <c r="E45" s="175"/>
      <c r="F45" s="175"/>
      <c r="G45" s="176"/>
      <c r="H45" s="176"/>
      <c r="I45" s="176"/>
      <c r="J45" s="176"/>
      <c r="K45" s="176"/>
      <c r="L45" s="177" t="s">
        <v>74</v>
      </c>
      <c r="M45" s="178">
        <f>SUM(N9:N43)</f>
        <v>0</v>
      </c>
      <c r="N45" s="178"/>
    </row>
    <row r="46" ht="17.25" customHeight="1">
      <c r="A46" s="179"/>
      <c r="B46" s="180"/>
      <c r="C46" s="180"/>
      <c r="D46" s="180"/>
      <c r="E46" s="181"/>
      <c r="F46" s="181"/>
      <c r="G46" s="181"/>
      <c r="H46" s="181"/>
      <c r="I46" s="181"/>
      <c r="J46" s="181"/>
      <c r="K46" s="181"/>
      <c r="L46" s="181"/>
      <c r="M46" s="181"/>
      <c r="N46" s="181"/>
    </row>
    <row r="47" ht="17.25" customHeight="1">
      <c r="A47" s="179"/>
      <c r="B47" s="180"/>
      <c r="C47" s="180"/>
      <c r="D47" s="180"/>
      <c r="E47" s="181"/>
      <c r="F47" s="181"/>
      <c r="G47" s="181"/>
      <c r="H47" s="181"/>
      <c r="I47" s="181"/>
      <c r="J47" s="181"/>
      <c r="K47" s="181"/>
      <c r="L47" s="181"/>
      <c r="M47" s="181"/>
      <c r="N47" s="181"/>
    </row>
    <row r="48" ht="17.25" customHeight="1">
      <c r="A48" s="182"/>
      <c r="B48" s="180"/>
      <c r="C48" s="180"/>
      <c r="D48" s="180"/>
      <c r="E48" s="181"/>
      <c r="F48" s="181"/>
      <c r="G48" s="181"/>
      <c r="H48" s="181"/>
      <c r="I48" s="181"/>
      <c r="J48" s="181"/>
      <c r="K48" s="181"/>
      <c r="L48" s="181"/>
      <c r="M48" s="181"/>
      <c r="N48" s="181"/>
    </row>
    <row r="49" ht="17.25" customHeight="1">
      <c r="A49" s="182"/>
      <c r="B49" s="180"/>
      <c r="C49" s="180"/>
      <c r="D49" s="180"/>
      <c r="E49" s="181"/>
      <c r="F49" s="181"/>
      <c r="G49" s="181"/>
      <c r="H49" s="181"/>
      <c r="I49" s="181"/>
      <c r="J49" s="181"/>
      <c r="K49" s="181"/>
      <c r="L49" s="181"/>
      <c r="M49" s="181"/>
      <c r="N49" s="181"/>
    </row>
    <row r="50" ht="17.25" customHeight="1">
      <c r="A50" s="179"/>
      <c r="B50" s="180"/>
      <c r="C50" s="180"/>
      <c r="D50" s="180"/>
      <c r="E50" s="181"/>
      <c r="F50" s="181"/>
      <c r="G50" s="181"/>
      <c r="H50" s="181"/>
      <c r="I50" s="181"/>
      <c r="J50" s="181"/>
      <c r="K50" s="181"/>
      <c r="L50" s="181"/>
      <c r="M50" s="181"/>
      <c r="N50" s="181"/>
    </row>
    <row r="51" ht="17.25" customHeight="1">
      <c r="A51" s="182"/>
      <c r="B51" s="180"/>
      <c r="C51" s="180"/>
      <c r="D51" s="180"/>
      <c r="E51" s="181"/>
      <c r="F51" s="181"/>
      <c r="G51" s="181"/>
      <c r="H51" s="181"/>
      <c r="I51" s="181"/>
      <c r="J51" s="181"/>
      <c r="K51" s="181"/>
      <c r="L51" s="181"/>
      <c r="M51" s="181"/>
      <c r="N51" s="181"/>
    </row>
    <row r="52" ht="17.25" customHeight="1">
      <c r="A52" s="182"/>
      <c r="B52" s="180"/>
      <c r="C52" s="180"/>
      <c r="D52" s="180"/>
      <c r="E52" s="181"/>
      <c r="F52" s="181"/>
      <c r="G52" s="181"/>
      <c r="H52" s="181"/>
      <c r="I52" s="181"/>
      <c r="J52" s="181"/>
      <c r="K52" s="181"/>
      <c r="L52" s="181"/>
      <c r="M52" s="181"/>
      <c r="N52" s="181"/>
    </row>
    <row r="53" ht="17.25" customHeight="1">
      <c r="A53" s="179"/>
      <c r="B53" s="180"/>
      <c r="C53" s="180"/>
      <c r="D53" s="180"/>
      <c r="E53" s="181"/>
      <c r="F53" s="181"/>
      <c r="G53" s="181"/>
      <c r="H53" s="181"/>
      <c r="I53" s="181"/>
      <c r="J53" s="181"/>
      <c r="K53" s="181"/>
      <c r="L53" s="181"/>
      <c r="M53" s="181"/>
      <c r="N53" s="181"/>
    </row>
    <row r="54" ht="17.25" customHeight="1">
      <c r="A54" s="182"/>
      <c r="B54" s="180"/>
      <c r="C54" s="180"/>
      <c r="D54" s="180"/>
      <c r="E54" s="181"/>
      <c r="F54" s="181"/>
      <c r="G54" s="181"/>
      <c r="H54" s="181"/>
      <c r="I54" s="181"/>
      <c r="J54" s="181"/>
      <c r="K54" s="181"/>
      <c r="L54" s="181"/>
      <c r="M54" s="181"/>
      <c r="N54" s="181"/>
    </row>
    <row r="55" ht="17.25" customHeight="1">
      <c r="A55" s="182"/>
      <c r="B55" s="180"/>
      <c r="C55" s="180"/>
      <c r="D55" s="180"/>
      <c r="E55" s="181"/>
      <c r="F55" s="181"/>
      <c r="G55" s="181"/>
      <c r="H55" s="181"/>
      <c r="I55" s="181"/>
      <c r="J55" s="181"/>
      <c r="K55" s="181"/>
      <c r="L55" s="181"/>
      <c r="M55" s="181"/>
      <c r="N55" s="181"/>
    </row>
    <row r="56" ht="17.25" customHeight="1">
      <c r="A56" s="179"/>
      <c r="B56" s="180"/>
      <c r="C56" s="180"/>
      <c r="D56" s="180"/>
      <c r="E56" s="181"/>
      <c r="F56" s="181"/>
      <c r="G56" s="181"/>
      <c r="H56" s="181"/>
      <c r="I56" s="181"/>
      <c r="J56" s="181"/>
      <c r="K56" s="181"/>
      <c r="L56" s="181"/>
      <c r="M56" s="181"/>
      <c r="N56" s="181"/>
    </row>
    <row r="57" ht="17.25" customHeight="1">
      <c r="A57" s="182"/>
      <c r="B57" s="180"/>
      <c r="C57" s="180"/>
      <c r="D57" s="180"/>
      <c r="E57" s="181"/>
      <c r="F57" s="181"/>
      <c r="G57" s="181"/>
      <c r="H57" s="181"/>
      <c r="I57" s="181"/>
      <c r="J57" s="181"/>
      <c r="K57" s="181"/>
      <c r="L57" s="181"/>
      <c r="M57" s="181"/>
      <c r="N57" s="181"/>
    </row>
    <row r="58" ht="17.25" customHeight="1">
      <c r="A58" s="182"/>
      <c r="B58" s="180"/>
      <c r="C58" s="180"/>
      <c r="D58" s="180"/>
      <c r="E58" s="181"/>
      <c r="F58" s="181"/>
      <c r="G58" s="181"/>
      <c r="H58" s="181"/>
      <c r="I58" s="181"/>
      <c r="J58" s="181"/>
      <c r="K58" s="181"/>
      <c r="L58" s="181"/>
      <c r="M58" s="181"/>
      <c r="N58" s="181"/>
    </row>
    <row r="59" ht="17.25" customHeight="1">
      <c r="A59" s="179"/>
      <c r="B59" s="180"/>
      <c r="C59" s="180"/>
      <c r="D59" s="180"/>
      <c r="E59" s="181"/>
      <c r="F59" s="181"/>
      <c r="G59" s="181"/>
      <c r="H59" s="181"/>
      <c r="I59" s="181"/>
      <c r="J59" s="181"/>
      <c r="K59" s="181"/>
      <c r="L59" s="181"/>
      <c r="M59" s="181"/>
      <c r="N59" s="181"/>
    </row>
    <row r="60" ht="17.25" customHeight="1">
      <c r="A60" s="182"/>
      <c r="B60" s="180"/>
      <c r="C60" s="180"/>
      <c r="D60" s="180"/>
      <c r="E60" s="181"/>
      <c r="F60" s="181"/>
      <c r="G60" s="181"/>
      <c r="H60" s="181"/>
      <c r="I60" s="181"/>
      <c r="J60" s="181"/>
      <c r="K60" s="181"/>
      <c r="L60" s="181"/>
      <c r="M60" s="181"/>
      <c r="N60" s="181"/>
    </row>
    <row r="61" ht="17.25" customHeight="1">
      <c r="A61" s="182"/>
      <c r="B61" s="180"/>
      <c r="C61" s="180"/>
      <c r="D61" s="180"/>
      <c r="E61" s="181"/>
      <c r="F61" s="181"/>
      <c r="G61" s="181"/>
      <c r="H61" s="181"/>
      <c r="I61" s="181"/>
      <c r="J61" s="181"/>
      <c r="K61" s="181"/>
      <c r="L61" s="181"/>
      <c r="M61" s="181"/>
      <c r="N61" s="181"/>
    </row>
    <row r="62" ht="17.25" customHeight="1"/>
  </sheetData>
  <mergeCells count="73">
    <mergeCell ref="F1:I1"/>
    <mergeCell ref="F2:I2"/>
    <mergeCell ref="F3:I3"/>
    <mergeCell ref="F5:G5"/>
    <mergeCell ref="I5:J5"/>
    <mergeCell ref="L7:M7"/>
    <mergeCell ref="L8:M8"/>
    <mergeCell ref="L9:M9"/>
    <mergeCell ref="A10:A13"/>
    <mergeCell ref="L10:M10"/>
    <mergeCell ref="L11:M11"/>
    <mergeCell ref="L12:M12"/>
    <mergeCell ref="L13:M13"/>
    <mergeCell ref="L14:M14"/>
    <mergeCell ref="A15:A18"/>
    <mergeCell ref="L15:M15"/>
    <mergeCell ref="L16:M16"/>
    <mergeCell ref="L17:M17"/>
    <mergeCell ref="L18:M18"/>
    <mergeCell ref="L19:M19"/>
    <mergeCell ref="A20:A23"/>
    <mergeCell ref="L20:M20"/>
    <mergeCell ref="L21:M21"/>
    <mergeCell ref="L22:M22"/>
    <mergeCell ref="L23:M23"/>
    <mergeCell ref="L24:M24"/>
    <mergeCell ref="A25:A28"/>
    <mergeCell ref="L25:M25"/>
    <mergeCell ref="L26:M26"/>
    <mergeCell ref="L27:M27"/>
    <mergeCell ref="L28:M28"/>
    <mergeCell ref="L29:M29"/>
    <mergeCell ref="A30:A33"/>
    <mergeCell ref="L30:M30"/>
    <mergeCell ref="L31:M31"/>
    <mergeCell ref="L32:M32"/>
    <mergeCell ref="L33:M33"/>
    <mergeCell ref="L34:M34"/>
    <mergeCell ref="A35:A38"/>
    <mergeCell ref="L35:M35"/>
    <mergeCell ref="L36:M36"/>
    <mergeCell ref="L37:M37"/>
    <mergeCell ref="L38:M38"/>
    <mergeCell ref="L39:M39"/>
    <mergeCell ref="A40:A43"/>
    <mergeCell ref="L40:M40"/>
    <mergeCell ref="L41:M41"/>
    <mergeCell ref="L42:M42"/>
    <mergeCell ref="L43:M43"/>
    <mergeCell ref="L44:M44"/>
    <mergeCell ref="A45:B45"/>
    <mergeCell ref="M45:N45"/>
    <mergeCell ref="K46:N46"/>
    <mergeCell ref="K47:N47"/>
    <mergeCell ref="A48:A49"/>
    <mergeCell ref="K48:N48"/>
    <mergeCell ref="K49:N49"/>
    <mergeCell ref="K50:N50"/>
    <mergeCell ref="A51:A52"/>
    <mergeCell ref="K51:N51"/>
    <mergeCell ref="K52:N52"/>
    <mergeCell ref="K53:N53"/>
    <mergeCell ref="A54:A55"/>
    <mergeCell ref="K54:N54"/>
    <mergeCell ref="K55:N55"/>
    <mergeCell ref="K56:N56"/>
    <mergeCell ref="A57:A58"/>
    <mergeCell ref="K57:N57"/>
    <mergeCell ref="K58:N58"/>
    <mergeCell ref="K59:N59"/>
    <mergeCell ref="A60:A61"/>
    <mergeCell ref="K60:N60"/>
    <mergeCell ref="K61:N61"/>
  </mergeCells>
  <printOptions headings="0" gridLines="0" horizontalCentered="0" verticalCentered="0"/>
  <pageMargins left="0.10000000000000002" right="0" top="0.10000000000000002" bottom="0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  <rowBreaks count="1" manualBreakCount="1">
    <brk id="28" man="1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8" topLeftCell="A9" activePane="bottomLeft" state="frozen"/>
      <selection activeCell="M13" activeCellId="0" sqref="M13"/>
    </sheetView>
  </sheetViews>
  <sheetFormatPr defaultColWidth="8.859375" defaultRowHeight="12.75" customHeight="1"/>
  <cols>
    <col customWidth="1" min="1" max="1" style="123" width="11.710000000000001"/>
    <col customWidth="1" min="2" max="2" style="122" width="20.420000000000002"/>
    <col customWidth="1" min="3" max="3" style="122" width="8.7100000000000009"/>
    <col customWidth="1" min="4" max="4" style="122" width="28.57"/>
    <col customWidth="1" min="5" max="5" style="122" width="33.859999999999999"/>
    <col customWidth="1" min="6" max="6" style="122" width="13.289999999999999"/>
    <col customWidth="0" min="7" max="16384" style="122" width="8.8599999999999994"/>
  </cols>
  <sheetData>
    <row r="1" ht="15" customHeight="1">
      <c r="A1" s="183"/>
      <c r="B1" s="133"/>
      <c r="C1" s="133"/>
      <c r="D1" s="138" t="s">
        <v>1</v>
      </c>
      <c r="E1" s="138"/>
      <c r="F1" s="138"/>
      <c r="G1" s="138"/>
    </row>
    <row r="2" ht="15" customHeight="1">
      <c r="A2" s="183"/>
      <c r="B2" s="133"/>
      <c r="C2" s="133"/>
      <c r="D2" s="134" t="s">
        <v>75</v>
      </c>
      <c r="E2" s="134"/>
      <c r="F2" s="134"/>
      <c r="G2" s="134"/>
    </row>
    <row r="3" ht="15" customHeight="1">
      <c r="A3" s="184"/>
      <c r="B3" s="133"/>
      <c r="C3" s="133"/>
      <c r="D3" s="138" t="s">
        <v>76</v>
      </c>
      <c r="E3" s="138"/>
      <c r="F3" s="138"/>
      <c r="G3" s="138"/>
    </row>
    <row r="4" ht="13.5" customHeight="1">
      <c r="A4" s="184"/>
      <c r="B4" s="133"/>
      <c r="C4" s="133"/>
      <c r="D4" s="133"/>
      <c r="E4" s="133"/>
      <c r="F4" s="133"/>
    </row>
    <row r="5" ht="15">
      <c r="A5" s="185"/>
      <c r="B5" s="143"/>
      <c r="C5" s="143"/>
      <c r="D5" s="143"/>
      <c r="E5" s="186" t="s">
        <v>77</v>
      </c>
      <c r="F5" s="187"/>
    </row>
    <row r="6" ht="21" customHeight="1">
      <c r="A6" s="185"/>
      <c r="B6" s="188"/>
      <c r="C6" s="188"/>
      <c r="D6" s="188"/>
      <c r="E6" s="189"/>
      <c r="F6" s="188"/>
    </row>
    <row r="7" s="123" customFormat="1" ht="12.75" customHeight="1">
      <c r="A7" s="190"/>
      <c r="B7" s="191" t="s">
        <v>78</v>
      </c>
      <c r="C7" s="191"/>
      <c r="D7" s="191" t="s">
        <v>79</v>
      </c>
      <c r="E7" s="191" t="s">
        <v>80</v>
      </c>
      <c r="F7" s="191" t="s">
        <v>81</v>
      </c>
    </row>
    <row r="8" s="123" customFormat="1" ht="12.75" customHeight="1">
      <c r="A8" s="192" t="s">
        <v>30</v>
      </c>
      <c r="B8" s="160" t="s">
        <v>60</v>
      </c>
      <c r="C8" s="160" t="s">
        <v>82</v>
      </c>
      <c r="D8" s="160" t="s">
        <v>83</v>
      </c>
      <c r="E8" s="160" t="s">
        <v>84</v>
      </c>
      <c r="F8" s="160" t="s">
        <v>85</v>
      </c>
    </row>
    <row r="9" s="162" customFormat="1" ht="19.5" customHeight="1">
      <c r="A9" s="193" t="str">
        <f>'Time Sheet'!A21</f>
        <v>Sunday</v>
      </c>
      <c r="B9" s="194" t="str">
        <f>IF('Time Sheet'!B20&lt;&gt;0, 'Time Sheet'!B20,"")</f>
        <v/>
      </c>
      <c r="C9" s="194"/>
      <c r="D9" s="195"/>
      <c r="E9" s="196"/>
      <c r="F9" s="196"/>
    </row>
    <row r="10" ht="19.5" customHeight="1">
      <c r="A10" s="197">
        <f>'Expense Report'!A10:A13</f>
        <v>46026</v>
      </c>
      <c r="B10" s="194" t="str">
        <f>IF('Time Sheet'!B21&lt;&gt;0,'Time Sheet'!B21,"")</f>
        <v/>
      </c>
      <c r="C10" s="194"/>
      <c r="D10" s="198"/>
      <c r="E10" s="196"/>
      <c r="F10" s="196"/>
    </row>
    <row r="11" ht="19.5" customHeight="1">
      <c r="A11" s="197"/>
      <c r="B11" s="194" t="str">
        <f>IF('Time Sheet'!B22&lt;&gt;0,'Time Sheet'!B22,"")</f>
        <v/>
      </c>
      <c r="C11" s="194"/>
      <c r="D11" s="198"/>
      <c r="E11" s="196"/>
      <c r="F11" s="196"/>
    </row>
    <row r="12" ht="19.5" customHeight="1">
      <c r="A12" s="197"/>
      <c r="B12" s="194" t="str">
        <f>IF('Time Sheet'!B23&lt;&gt;0,'Time Sheet'!B23,"")</f>
        <v/>
      </c>
      <c r="C12" s="194"/>
      <c r="D12" s="198"/>
      <c r="E12" s="196"/>
      <c r="F12" s="196"/>
    </row>
    <row r="13" ht="19.5" customHeight="1">
      <c r="A13" s="197"/>
      <c r="B13" s="194" t="str">
        <f>IF('Time Sheet'!B24&lt;&gt;0,'Time Sheet'!B24,"")</f>
        <v/>
      </c>
      <c r="C13" s="194"/>
      <c r="D13" s="198"/>
      <c r="E13" s="196"/>
      <c r="F13" s="196"/>
    </row>
    <row r="14" ht="19.5" customHeight="1">
      <c r="A14" s="193"/>
      <c r="B14" s="194" t="str">
        <f>IF('Time Sheet'!B25&lt;&gt;0,'Time Sheet'!B25,"")</f>
        <v/>
      </c>
      <c r="C14" s="194"/>
      <c r="D14" s="198"/>
      <c r="E14" s="196"/>
      <c r="F14" s="196"/>
    </row>
    <row r="15" ht="19.5" customHeight="1">
      <c r="A15" s="197">
        <f>A10+1</f>
        <v>46027</v>
      </c>
      <c r="B15" s="194" t="str">
        <f>IF('Time Sheet'!B26&lt;&gt;0,'Time Sheet'!B26,"")</f>
        <v/>
      </c>
      <c r="C15" s="194"/>
      <c r="D15" s="198"/>
      <c r="E15" s="196"/>
      <c r="F15" s="196"/>
    </row>
    <row r="16" ht="19.5" customHeight="1">
      <c r="A16" s="197"/>
      <c r="B16" s="194" t="str">
        <f>IF('Time Sheet'!B27&lt;&gt;0,'Time Sheet'!B27,"")</f>
        <v/>
      </c>
      <c r="C16" s="194"/>
      <c r="D16" s="198"/>
      <c r="E16" s="196"/>
      <c r="F16" s="196"/>
    </row>
    <row r="17" ht="19.5" customHeight="1">
      <c r="A17" s="197"/>
      <c r="B17" s="194" t="str">
        <f>IF('Time Sheet'!B28&lt;&gt;0,'Time Sheet'!B28,"")</f>
        <v/>
      </c>
      <c r="C17" s="194"/>
      <c r="D17" s="198"/>
      <c r="E17" s="196"/>
      <c r="F17" s="196"/>
    </row>
    <row r="18" ht="19.5" customHeight="1">
      <c r="A18" s="197"/>
      <c r="B18" s="194" t="str">
        <f>IF('Time Sheet'!B29&lt;&gt;0,'Time Sheet'!B29,"")</f>
        <v/>
      </c>
      <c r="C18" s="194"/>
      <c r="D18" s="198"/>
      <c r="E18" s="196"/>
      <c r="F18" s="196"/>
    </row>
    <row r="19" ht="19.5" customHeight="1">
      <c r="A19" s="193" t="str">
        <f>'Time Sheet'!A31</f>
        <v>Tuesday</v>
      </c>
      <c r="B19" s="194" t="str">
        <f>IF('Time Sheet'!B30&lt;&gt;0,'Time Sheet'!B30,"")</f>
        <v/>
      </c>
      <c r="C19" s="194"/>
      <c r="D19" s="198"/>
      <c r="E19" s="196"/>
      <c r="F19" s="196"/>
    </row>
    <row r="20" ht="19.5" customHeight="1">
      <c r="A20" s="197">
        <f>A15+1</f>
        <v>46028</v>
      </c>
      <c r="B20" s="194" t="str">
        <f>IF('Time Sheet'!B31&lt;&gt;0,'Time Sheet'!B31,"")</f>
        <v/>
      </c>
      <c r="C20" s="194"/>
      <c r="D20" s="198"/>
      <c r="E20" s="196"/>
      <c r="F20" s="196"/>
    </row>
    <row r="21" ht="19.5" customHeight="1">
      <c r="A21" s="197"/>
      <c r="B21" s="194" t="str">
        <f>IF('Time Sheet'!B32&lt;&gt;0,'Time Sheet'!B32,"")</f>
        <v/>
      </c>
      <c r="C21" s="194"/>
      <c r="D21" s="198"/>
      <c r="E21" s="196"/>
      <c r="F21" s="196"/>
    </row>
    <row r="22" ht="19.5" customHeight="1">
      <c r="A22" s="197"/>
      <c r="B22" s="194" t="str">
        <f>IF('Time Sheet'!B33&lt;&gt;0,'Time Sheet'!B33,"")</f>
        <v/>
      </c>
      <c r="C22" s="194"/>
      <c r="D22" s="198"/>
      <c r="E22" s="196"/>
      <c r="F22" s="196"/>
    </row>
    <row r="23" ht="19.5" customHeight="1">
      <c r="A23" s="197"/>
      <c r="B23" s="194" t="str">
        <f>IF('Time Sheet'!B34&lt;&gt;0,'Time Sheet'!B34,"")</f>
        <v/>
      </c>
      <c r="C23" s="194"/>
      <c r="D23" s="198"/>
      <c r="E23" s="196"/>
      <c r="F23" s="196"/>
    </row>
    <row r="24" ht="19.5" customHeight="1">
      <c r="A24" s="193" t="str">
        <f>'Time Sheet'!A36</f>
        <v>Wednesday</v>
      </c>
      <c r="B24" s="194" t="str">
        <f>IF('Time Sheet'!B35&lt;&gt;0,'Time Sheet'!B35,"")</f>
        <v/>
      </c>
      <c r="C24" s="194"/>
      <c r="D24" s="198"/>
      <c r="E24" s="196"/>
      <c r="F24" s="196"/>
    </row>
    <row r="25" ht="19.5" customHeight="1">
      <c r="A25" s="197">
        <f>A20+1</f>
        <v>46029</v>
      </c>
      <c r="B25" s="194" t="str">
        <f>IF('Time Sheet'!B36&lt;&gt;0,'Time Sheet'!B36,"")</f>
        <v/>
      </c>
      <c r="C25" s="194"/>
      <c r="D25" s="198"/>
      <c r="E25" s="196"/>
      <c r="F25" s="196"/>
    </row>
    <row r="26" ht="19.5" customHeight="1">
      <c r="A26" s="197"/>
      <c r="B26" s="194" t="str">
        <f>IF('Time Sheet'!B37&lt;&gt;0,'Time Sheet'!B37,"")</f>
        <v/>
      </c>
      <c r="C26" s="194"/>
      <c r="D26" s="198"/>
      <c r="E26" s="196"/>
      <c r="F26" s="196"/>
    </row>
    <row r="27" ht="19.5" customHeight="1">
      <c r="A27" s="197"/>
      <c r="B27" s="194" t="str">
        <f>IF('Time Sheet'!B38&lt;&gt;0,'Time Sheet'!B38,"")</f>
        <v/>
      </c>
      <c r="C27" s="194"/>
      <c r="D27" s="198"/>
      <c r="E27" s="196"/>
      <c r="F27" s="196"/>
    </row>
    <row r="28" ht="19.5" customHeight="1">
      <c r="A28" s="197"/>
      <c r="B28" s="194" t="str">
        <f>IF('Time Sheet'!B39&lt;&gt;0,'Time Sheet'!B39,"")</f>
        <v/>
      </c>
      <c r="C28" s="194"/>
      <c r="D28" s="198"/>
      <c r="E28" s="196"/>
      <c r="F28" s="196"/>
    </row>
    <row r="29" ht="19.5" customHeight="1">
      <c r="A29" s="199" t="str">
        <f>'Time Sheet'!A41</f>
        <v>Thursday</v>
      </c>
      <c r="B29" s="194" t="str">
        <f>IF('Time Sheet'!B40&lt;&gt;0,'Time Sheet'!B40,"")</f>
        <v/>
      </c>
      <c r="C29" s="194"/>
      <c r="D29" s="198"/>
      <c r="E29" s="196"/>
      <c r="F29" s="196"/>
    </row>
    <row r="30" ht="19.5" customHeight="1">
      <c r="A30" s="197">
        <f>A25+1</f>
        <v>46030</v>
      </c>
      <c r="B30" s="194" t="str">
        <f>IF('Time Sheet'!B41&lt;&gt;0,'Time Sheet'!B41,"")</f>
        <v/>
      </c>
      <c r="C30" s="194"/>
      <c r="D30" s="198"/>
      <c r="E30" s="196"/>
      <c r="F30" s="196"/>
    </row>
    <row r="31" ht="19.5" customHeight="1">
      <c r="A31" s="197"/>
      <c r="B31" s="194" t="str">
        <f>IF('Time Sheet'!B42&lt;&gt;0,'Time Sheet'!B42,"")</f>
        <v/>
      </c>
      <c r="C31" s="194"/>
      <c r="D31" s="198"/>
      <c r="E31" s="196"/>
      <c r="F31" s="196"/>
    </row>
    <row r="32" ht="19.5" customHeight="1">
      <c r="A32" s="197"/>
      <c r="B32" s="194" t="str">
        <f>IF('Time Sheet'!B43&lt;&gt;0,'Time Sheet'!B43,"")</f>
        <v/>
      </c>
      <c r="C32" s="194"/>
      <c r="D32" s="198"/>
      <c r="E32" s="196"/>
      <c r="F32" s="196"/>
    </row>
    <row r="33" ht="19.5" customHeight="1">
      <c r="A33" s="197"/>
      <c r="B33" s="194" t="str">
        <f>IF('Time Sheet'!B44&lt;&gt;0,'Time Sheet'!B44,"")</f>
        <v/>
      </c>
      <c r="C33" s="194"/>
      <c r="D33" s="198"/>
      <c r="E33" s="196"/>
      <c r="F33" s="196"/>
    </row>
    <row r="34" ht="19.5" customHeight="1">
      <c r="A34" s="193" t="str">
        <f>'Time Sheet'!A46</f>
        <v>Friday</v>
      </c>
      <c r="B34" s="194" t="str">
        <f>IF('Time Sheet'!B45&lt;&gt;0,'Time Sheet'!B45,"")</f>
        <v/>
      </c>
      <c r="C34" s="194"/>
      <c r="D34" s="198"/>
      <c r="E34" s="196"/>
      <c r="F34" s="196"/>
    </row>
    <row r="35" ht="19.5" customHeight="1">
      <c r="A35" s="197">
        <f>A30+1</f>
        <v>46031</v>
      </c>
      <c r="B35" s="194" t="str">
        <f>IF('Time Sheet'!B46&lt;&gt;0,'Time Sheet'!B46,"")</f>
        <v/>
      </c>
      <c r="C35" s="194"/>
      <c r="D35" s="198"/>
      <c r="E35" s="196"/>
      <c r="F35" s="196"/>
    </row>
    <row r="36" ht="19.5" customHeight="1">
      <c r="A36" s="197"/>
      <c r="B36" s="194" t="str">
        <f>IF('Time Sheet'!B47&lt;&gt;0,'Time Sheet'!B47,"")</f>
        <v/>
      </c>
      <c r="C36" s="194"/>
      <c r="D36" s="198"/>
      <c r="E36" s="196"/>
      <c r="F36" s="196"/>
    </row>
    <row r="37" ht="19.5" customHeight="1">
      <c r="A37" s="197"/>
      <c r="B37" s="194" t="str">
        <f>IF('Time Sheet'!B48&lt;&gt;0,'Time Sheet'!B48,"")</f>
        <v/>
      </c>
      <c r="C37" s="194"/>
      <c r="D37" s="198"/>
      <c r="E37" s="196"/>
      <c r="F37" s="196"/>
    </row>
    <row r="38" ht="19.5" customHeight="1">
      <c r="A38" s="197"/>
      <c r="B38" s="194" t="str">
        <f>IF('Time Sheet'!B49&lt;&gt;0,'Time Sheet'!B49,"")</f>
        <v/>
      </c>
      <c r="C38" s="194"/>
      <c r="D38" s="198"/>
      <c r="E38" s="196"/>
      <c r="F38" s="196"/>
    </row>
    <row r="39" ht="19.5" customHeight="1">
      <c r="A39" s="193" t="str">
        <f>'Time Sheet'!A51</f>
        <v>Saturday</v>
      </c>
      <c r="B39" s="194" t="str">
        <f>IF('Time Sheet'!B50&lt;&gt;0,'Time Sheet'!B50,"")</f>
        <v/>
      </c>
      <c r="C39" s="194"/>
      <c r="D39" s="198"/>
      <c r="E39" s="196"/>
      <c r="F39" s="196"/>
    </row>
    <row r="40" ht="19.5" customHeight="1">
      <c r="A40" s="197">
        <f>A35+1</f>
        <v>46032</v>
      </c>
      <c r="B40" s="194" t="str">
        <f>IF('Time Sheet'!B51&lt;&gt;0,'Time Sheet'!B51,"")</f>
        <v/>
      </c>
      <c r="C40" s="194"/>
      <c r="D40" s="198"/>
      <c r="E40" s="196"/>
      <c r="F40" s="196"/>
    </row>
    <row r="41" ht="19.5" customHeight="1">
      <c r="A41" s="197"/>
      <c r="B41" s="194" t="str">
        <f>IF('Time Sheet'!B52&lt;&gt;0,'Time Sheet'!B52,"")</f>
        <v/>
      </c>
      <c r="C41" s="194"/>
      <c r="D41" s="198"/>
      <c r="E41" s="196"/>
      <c r="F41" s="196"/>
    </row>
    <row r="42" ht="19.5" customHeight="1">
      <c r="A42" s="197"/>
      <c r="B42" s="194" t="str">
        <f>IF('Time Sheet'!B53&lt;&gt;0,'Time Sheet'!B53,"")</f>
        <v/>
      </c>
      <c r="C42" s="194"/>
      <c r="D42" s="198"/>
      <c r="E42" s="196"/>
      <c r="F42" s="196"/>
    </row>
    <row r="43" ht="19.5" customHeight="1">
      <c r="A43" s="197"/>
      <c r="B43" s="194" t="str">
        <f>IF('Time Sheet'!B54&lt;&gt;0,'Time Sheet'!B54,"")</f>
        <v/>
      </c>
      <c r="C43" s="194"/>
      <c r="D43" s="198"/>
      <c r="E43" s="196"/>
      <c r="F43" s="196"/>
    </row>
    <row r="44" ht="25.5" customHeight="1">
      <c r="A44" s="200" t="s">
        <v>73</v>
      </c>
      <c r="B44" s="200"/>
      <c r="C44" s="200"/>
      <c r="D44" s="201" t="str">
        <f>'Time Sheet'!M3</f>
        <v xml:space="preserve">CHRISTOPHER PANICI</v>
      </c>
      <c r="E44" s="202"/>
      <c r="F44" s="202"/>
    </row>
  </sheetData>
  <mergeCells count="11">
    <mergeCell ref="D1:G1"/>
    <mergeCell ref="D2:G2"/>
    <mergeCell ref="D3:G3"/>
    <mergeCell ref="A10:A13"/>
    <mergeCell ref="A15:A18"/>
    <mergeCell ref="A20:A23"/>
    <mergeCell ref="A25:A28"/>
    <mergeCell ref="A30:A33"/>
    <mergeCell ref="A35:A38"/>
    <mergeCell ref="A40:A43"/>
    <mergeCell ref="A44:B44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landscape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ONLYOFFICE/9.2.1.43</Application>
  <HeadingPairs>
    <vt:vector size="0" baseType="variant"/>
  </HeadingPairs>
  <TitlesOfParts>
    <vt:vector size="0" baseType="lpstr"/>
  </TitlesOfParts>
  <Company>CCS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Blahnik</dc:creator>
  <dc:description/>
  <dc:language>en-US</dc:language>
  <cp:revision>7</cp:revision>
  <dcterms:created xsi:type="dcterms:W3CDTF">2004-07-09T14:04:53Z</dcterms:created>
  <dcterms:modified xsi:type="dcterms:W3CDTF">2026-01-06T01:14:43Z</dcterms:modified>
</cp:coreProperties>
</file>